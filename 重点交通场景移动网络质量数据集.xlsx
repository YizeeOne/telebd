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Cat1" sheetId="1" r:id="rId1"/>
    <sheet name="NB-IoT" sheetId="3" r:id="rId2"/>
    <sheet name="Redcap" sheetId="4" r:id="rId3"/>
  </sheets>
  <definedNames>
    <definedName name="_xlnm._FilterDatabase" localSheetId="0" hidden="1">Cat1!$A$1:$AR$259</definedName>
    <definedName name="_xlnm._FilterDatabase" localSheetId="1" hidden="1">'NB-IoT'!$A$1:$P$229</definedName>
    <definedName name="_xlnm._FilterDatabase" localSheetId="2" hidden="1">Redcap!$A$1:$AX$259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<sst xmlns="http://schemas.openxmlformats.org/spreadsheetml/2006/main" count="3530" uniqueCount="79">
  <si>
    <t>设备厂家</t>
  </si>
  <si>
    <t>地市</t>
  </si>
  <si>
    <t>一级场景</t>
  </si>
  <si>
    <t>二级场景</t>
  </si>
  <si>
    <t>运营商</t>
  </si>
  <si>
    <t>测试总里程</t>
  </si>
  <si>
    <t>测试总时长</t>
  </si>
  <si>
    <t>平均车速</t>
  </si>
  <si>
    <t>x1_平均RSRP</t>
  </si>
  <si>
    <t>x1_平均SINR</t>
  </si>
  <si>
    <t>x1_覆盖率1</t>
  </si>
  <si>
    <t>x1_覆盖率2</t>
  </si>
  <si>
    <t>y1_应用层下行平均吞吐率</t>
  </si>
  <si>
    <t>y1_应用层下行前10%峰值速率</t>
  </si>
  <si>
    <t>y1_下行速率达标率</t>
  </si>
  <si>
    <t>y1_FTP下载尝试次数</t>
  </si>
  <si>
    <t>y1_FTP下载成功次数</t>
  </si>
  <si>
    <t>y1_FTP下载掉线次数</t>
  </si>
  <si>
    <t>y1_FTP下载掉线率</t>
  </si>
  <si>
    <t>z1_应用层上行平均吞吐率</t>
  </si>
  <si>
    <t>z1_应用层上行前10%峰值速率</t>
  </si>
  <si>
    <t>z1_上行速率达标率</t>
  </si>
  <si>
    <t>z1_FTP上传尝试次数</t>
  </si>
  <si>
    <t>z1_FTP上传成功次数</t>
  </si>
  <si>
    <t>z1_FTP上传掉线次数</t>
  </si>
  <si>
    <t>z1_FTP上传掉线率</t>
  </si>
  <si>
    <t>x2_平均RSRP</t>
  </si>
  <si>
    <t>x2_平均SINR</t>
  </si>
  <si>
    <t>x2_覆盖率1</t>
  </si>
  <si>
    <t>x2_覆盖率2</t>
  </si>
  <si>
    <t>y2_应用层下行平均吞吐率</t>
  </si>
  <si>
    <t>y2_应用层下行前10%峰值速率</t>
  </si>
  <si>
    <t>y2_下行速率达标率</t>
  </si>
  <si>
    <t>y2_FTP下载尝试次数</t>
  </si>
  <si>
    <t>y2_FTP下载成功次数</t>
  </si>
  <si>
    <t>y2_FTP下载掉线次数</t>
  </si>
  <si>
    <t>y2_FTP下载掉线率</t>
  </si>
  <si>
    <t>z2_应用层上行平均吞吐率</t>
  </si>
  <si>
    <t>z2_应用层上行前10%峰值率</t>
  </si>
  <si>
    <t>z2_应用层上行速率达标率</t>
  </si>
  <si>
    <t>z2_FTP上传尝试次数</t>
  </si>
  <si>
    <t>z2_FTP上传成功次数</t>
  </si>
  <si>
    <t>z2_FTP上传掉线次数</t>
  </si>
  <si>
    <t>z2_FTP上传掉线率</t>
  </si>
  <si>
    <t>7715b7194cb0b2308630075510656066</t>
  </si>
  <si>
    <t>H</t>
  </si>
  <si>
    <t>CQT</t>
  </si>
  <si>
    <t>咖啡厅</t>
  </si>
  <si>
    <t>G</t>
  </si>
  <si>
    <t>DT</t>
  </si>
  <si>
    <t>骑行道</t>
  </si>
  <si>
    <t>61f672c7283626788223681647752079</t>
  </si>
  <si>
    <t>J</t>
  </si>
  <si>
    <t>停车场</t>
  </si>
  <si>
    <t/>
  </si>
  <si>
    <t>E</t>
  </si>
  <si>
    <t>A</t>
  </si>
  <si>
    <t>补给站</t>
  </si>
  <si>
    <t>I</t>
  </si>
  <si>
    <t>B</t>
  </si>
  <si>
    <t>F</t>
  </si>
  <si>
    <t>步行道</t>
  </si>
  <si>
    <t>C</t>
  </si>
  <si>
    <t>D</t>
  </si>
  <si>
    <t>城市道路</t>
  </si>
  <si>
    <t>休息点</t>
  </si>
  <si>
    <t>RedCap驻留时长</t>
  </si>
  <si>
    <t>RedCap时长驻留比</t>
  </si>
  <si>
    <t>x1_平均SS-RSRP</t>
  </si>
  <si>
    <t>x1_平均SS-SINR</t>
  </si>
  <si>
    <t>x1_覆盖率3</t>
  </si>
  <si>
    <t>x1_覆盖率4</t>
  </si>
  <si>
    <t>z1_应用层上行速率达标速率</t>
  </si>
  <si>
    <t>x2_平均SS-RSRP</t>
  </si>
  <si>
    <t>x2_平均SS-SINR</t>
  </si>
  <si>
    <t>x2_覆盖率3</t>
  </si>
  <si>
    <t>x2_覆盖率4</t>
  </si>
  <si>
    <t>z2_应用层上行前10%峰值速率</t>
  </si>
  <si>
    <t>z2_应用层上行速率达标速率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</si>
</sst>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_);[Red]\(0.00\)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9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10" borderId="6">
      <alignment vertical="center"/>
    </xf>
    <xf numFmtId="0" fontId="14" fillId="11" borderId="7">
      <alignment vertical="center"/>
    </xf>
    <xf numFmtId="0" fontId="15" fillId="11" borderId="6">
      <alignment vertical="center"/>
    </xf>
    <xf numFmtId="0" fontId="16" fillId="12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  <xf numFmtId="0" fontId="22" fillId="36" borderId="0">
      <alignment vertical="center"/>
    </xf>
    <xf numFmtId="0" fontId="23" fillId="37" borderId="0">
      <alignment vertical="center"/>
    </xf>
    <xf numFmtId="0" fontId="23" fillId="38" borderId="0">
      <alignment vertical="center"/>
    </xf>
    <xf numFmtId="0" fontId="22" fillId="39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4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3" borderId="1" xfId="49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3" fillId="4" borderId="1" xfId="49" applyFont="1" applyFill="1" applyBorder="1" applyAlignment="1">
      <alignment horizontal="center" vertical="center" wrapText="1"/>
    </xf>
    <xf numFmtId="176" fontId="2" fillId="3" borderId="1" xfId="50" applyNumberFormat="1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/>
    </xf>
    <xf numFmtId="176" fontId="3" fillId="0" borderId="1" xfId="0" applyNumberFormat="1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0" fontId="2" fillId="5" borderId="1" xfId="51" applyFont="1" applyFill="1" applyBorder="1" applyAlignment="1">
      <alignment vertical="center"/>
    </xf>
    <xf numFmtId="10" fontId="1" fillId="0" borderId="1" xfId="0" applyNumberFormat="1" applyFont="1" applyFill="1" applyBorder="1" applyAlignment="1">
      <alignment horizontal="center"/>
    </xf>
    <xf numFmtId="10" fontId="3" fillId="0" borderId="1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0" fontId="2" fillId="6" borderId="1" xfId="5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/>
    </xf>
    <xf numFmtId="177" fontId="3" fillId="0" borderId="1" xfId="0" applyNumberFormat="1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horizontal="center" vertical="center"/>
    </xf>
    <xf numFmtId="0" fontId="2" fillId="7" borderId="1" xfId="5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2" fontId="0" fillId="0" borderId="1" xfId="0" applyNumberFormat="1" applyBorder="1" applyAlignment="1">
      <alignment horizontal="center"/>
    </xf>
    <xf numFmtId="10" fontId="0" fillId="0" borderId="1" xfId="0" applyNumberFormat="1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1" xfId="0" applyBorder="1" applyAlignment="1">
      <alignment horizontal="center"/>
    </xf>
    <xf numFmtId="0" fontId="4" fillId="0" borderId="1" xfId="49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5" borderId="1" xfId="5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0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10" fontId="2" fillId="5" borderId="1" xfId="50" applyNumberFormat="1" applyFont="1" applyFill="1" applyBorder="1" applyAlignment="1">
      <alignment horizontal="center" vertical="center" wrapText="1"/>
    </xf>
    <xf numFmtId="10" fontId="2" fillId="3" borderId="1" xfId="50" applyNumberFormat="1" applyFont="1" applyFill="1" applyBorder="1" applyAlignment="1">
      <alignment horizontal="center" vertical="center" wrapText="1"/>
    </xf>
    <xf numFmtId="178" fontId="2" fillId="7" borderId="1" xfId="50" applyNumberFormat="1" applyFont="1" applyFill="1" applyBorder="1" applyAlignment="1">
      <alignment horizontal="center" vertical="center" wrapText="1"/>
    </xf>
    <xf numFmtId="178" fontId="2" fillId="6" borderId="1" xfId="50" applyNumberFormat="1" applyFont="1" applyFill="1" applyBorder="1" applyAlignment="1">
      <alignment horizontal="center" vertical="center" wrapText="1"/>
    </xf>
    <xf numFmtId="0" fontId="2" fillId="6" borderId="1" xfId="50" applyFont="1" applyFill="1" applyBorder="1" applyAlignment="1">
      <alignment horizontal="center" vertical="center" wrapText="1"/>
    </xf>
    <xf numFmtId="0" fontId="4" fillId="8" borderId="1" xfId="49" applyFont="1" applyFill="1" applyBorder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2" xfId="49"/>
    <cellStyle name="常规 3" xfId="50"/>
    <cellStyle name="常规 2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59"/>
  <sheetViews>
    <sheetView tabSelected="1" workbookViewId="0">
      <selection activeCell="J23" sqref="J23"/>
    </sheetView>
  </sheetViews>
  <sheetFormatPr defaultColWidth="9" defaultRowHeight="14"/>
  <sheetData>
    <row r="1" ht="52" spans="1:4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9" t="s">
        <v>5</v>
      </c>
      <c r="G1" s="9" t="s">
        <v>6</v>
      </c>
      <c r="H1" s="9" t="s">
        <v>7</v>
      </c>
      <c r="I1" s="41" t="s">
        <v>8</v>
      </c>
      <c r="J1" s="41" t="s">
        <v>9</v>
      </c>
      <c r="K1" s="41" t="s">
        <v>10</v>
      </c>
      <c r="L1" s="41" t="s">
        <v>11</v>
      </c>
      <c r="M1" s="42" t="s">
        <v>12</v>
      </c>
      <c r="N1" s="42" t="s">
        <v>13</v>
      </c>
      <c r="O1" s="42" t="s">
        <v>14</v>
      </c>
      <c r="P1" s="42" t="s">
        <v>15</v>
      </c>
      <c r="Q1" s="42" t="s">
        <v>16</v>
      </c>
      <c r="R1" s="42" t="s">
        <v>17</v>
      </c>
      <c r="S1" s="42" t="s">
        <v>18</v>
      </c>
      <c r="T1" s="43" t="s">
        <v>19</v>
      </c>
      <c r="U1" s="43" t="s">
        <v>20</v>
      </c>
      <c r="V1" s="43" t="s">
        <v>21</v>
      </c>
      <c r="W1" s="43" t="s">
        <v>22</v>
      </c>
      <c r="X1" s="43" t="s">
        <v>23</v>
      </c>
      <c r="Y1" s="43" t="s">
        <v>24</v>
      </c>
      <c r="Z1" s="43" t="s">
        <v>25</v>
      </c>
      <c r="AA1" s="41" t="s">
        <v>26</v>
      </c>
      <c r="AB1" s="41" t="s">
        <v>27</v>
      </c>
      <c r="AC1" s="41" t="s">
        <v>28</v>
      </c>
      <c r="AD1" s="41" t="s">
        <v>29</v>
      </c>
      <c r="AE1" s="44" t="s">
        <v>30</v>
      </c>
      <c r="AF1" s="44" t="s">
        <v>31</v>
      </c>
      <c r="AG1" s="44" t="s">
        <v>32</v>
      </c>
      <c r="AH1" s="45" t="s">
        <v>33</v>
      </c>
      <c r="AI1" s="45" t="s">
        <v>34</v>
      </c>
      <c r="AJ1" s="45" t="s">
        <v>35</v>
      </c>
      <c r="AK1" s="45" t="s">
        <v>36</v>
      </c>
      <c r="AL1" s="43" t="s">
        <v>37</v>
      </c>
      <c r="AM1" s="43" t="s">
        <v>38</v>
      </c>
      <c r="AN1" s="43" t="s">
        <v>39</v>
      </c>
      <c r="AO1" s="43" t="s">
        <v>40</v>
      </c>
      <c r="AP1" s="43" t="s">
        <v>41</v>
      </c>
      <c r="AQ1" s="43" t="s">
        <v>42</v>
      </c>
      <c r="AR1" s="43" t="s">
        <v>43</v>
      </c>
    </row>
    <row r="2" spans="1:44">
      <c r="A2" s="3" t="s">
        <v>44</v>
      </c>
      <c r="B2" s="3" t="s">
        <v>45</v>
      </c>
      <c r="C2" s="4" t="s">
        <v>46</v>
      </c>
      <c r="D2" s="5" t="s">
        <v>47</v>
      </c>
      <c r="E2" s="29">
        <v>2</v>
      </c>
      <c r="F2" s="10"/>
      <c r="G2" s="10">
        <v>0.243</v>
      </c>
      <c r="H2" s="10"/>
      <c r="I2" s="10">
        <v>-107.011429064947</v>
      </c>
      <c r="J2" s="10">
        <v>5.24335513588208</v>
      </c>
      <c r="K2" s="14">
        <v>0.165131275909719</v>
      </c>
      <c r="L2" s="14">
        <v>0.884615384615385</v>
      </c>
      <c r="M2" s="10">
        <v>6.46291530944625</v>
      </c>
      <c r="N2" s="10">
        <v>8.297</v>
      </c>
      <c r="O2" s="14">
        <v>0.931596091205212</v>
      </c>
      <c r="P2" s="18">
        <v>10</v>
      </c>
      <c r="Q2" s="18">
        <v>10</v>
      </c>
      <c r="R2" s="18">
        <v>0</v>
      </c>
      <c r="S2" s="14">
        <v>0</v>
      </c>
      <c r="T2" s="10">
        <v>3.82808333333333</v>
      </c>
      <c r="U2" s="10">
        <v>5.395</v>
      </c>
      <c r="V2" s="14">
        <v>0.993333333333333</v>
      </c>
      <c r="W2" s="18">
        <v>10</v>
      </c>
      <c r="X2" s="18">
        <v>10</v>
      </c>
      <c r="Y2" s="18">
        <v>0</v>
      </c>
      <c r="Z2" s="14">
        <v>0</v>
      </c>
      <c r="AA2" s="10"/>
      <c r="AB2" s="10"/>
      <c r="AC2" s="14"/>
      <c r="AD2" s="14"/>
      <c r="AE2" s="10"/>
      <c r="AF2" s="10"/>
      <c r="AG2" s="14"/>
      <c r="AH2" s="18"/>
      <c r="AI2" s="18"/>
      <c r="AJ2" s="18"/>
      <c r="AK2" s="14"/>
      <c r="AL2" s="10"/>
      <c r="AM2" s="10"/>
      <c r="AN2" s="14"/>
      <c r="AO2" s="18"/>
      <c r="AP2" s="18"/>
      <c r="AQ2" s="18"/>
      <c r="AR2" s="14"/>
    </row>
    <row r="3" spans="1:44">
      <c r="A3" s="3" t="s">
        <v>44</v>
      </c>
      <c r="B3" s="3" t="s">
        <v>45</v>
      </c>
      <c r="C3" s="4" t="s">
        <v>46</v>
      </c>
      <c r="D3" s="5" t="s">
        <v>47</v>
      </c>
      <c r="E3" s="29">
        <v>3</v>
      </c>
      <c r="F3" s="10"/>
      <c r="G3" s="10">
        <v>0.243</v>
      </c>
      <c r="H3" s="10"/>
      <c r="I3" s="10">
        <v>-104.704057621671</v>
      </c>
      <c r="J3" s="10">
        <v>7.29970110192837</v>
      </c>
      <c r="K3" s="14">
        <v>0.517906336088154</v>
      </c>
      <c r="L3" s="14">
        <v>0.997474747474748</v>
      </c>
      <c r="M3" s="10">
        <v>6.49645695364238</v>
      </c>
      <c r="N3" s="10">
        <v>8.178</v>
      </c>
      <c r="O3" s="14">
        <v>0.960264900662252</v>
      </c>
      <c r="P3" s="18">
        <v>10</v>
      </c>
      <c r="Q3" s="18">
        <v>10</v>
      </c>
      <c r="R3" s="18">
        <v>0</v>
      </c>
      <c r="S3" s="14">
        <v>0</v>
      </c>
      <c r="T3" s="10">
        <v>3.85392666666667</v>
      </c>
      <c r="U3" s="10">
        <v>5.4639997</v>
      </c>
      <c r="V3" s="14">
        <v>0.993333333333333</v>
      </c>
      <c r="W3" s="18">
        <v>10</v>
      </c>
      <c r="X3" s="18">
        <v>10</v>
      </c>
      <c r="Y3" s="18">
        <v>0</v>
      </c>
      <c r="Z3" s="14">
        <v>0</v>
      </c>
      <c r="AA3" s="10"/>
      <c r="AB3" s="10"/>
      <c r="AC3" s="14"/>
      <c r="AD3" s="14"/>
      <c r="AE3" s="10"/>
      <c r="AF3" s="10"/>
      <c r="AG3" s="14"/>
      <c r="AH3" s="18"/>
      <c r="AI3" s="18"/>
      <c r="AJ3" s="18"/>
      <c r="AK3" s="14"/>
      <c r="AL3" s="10"/>
      <c r="AM3" s="10"/>
      <c r="AN3" s="14"/>
      <c r="AO3" s="18"/>
      <c r="AP3" s="18"/>
      <c r="AQ3" s="18"/>
      <c r="AR3" s="14"/>
    </row>
    <row r="4" spans="1:44">
      <c r="A4" s="3" t="s">
        <v>44</v>
      </c>
      <c r="B4" s="3" t="s">
        <v>48</v>
      </c>
      <c r="C4" s="4" t="s">
        <v>49</v>
      </c>
      <c r="D4" s="5" t="s">
        <v>50</v>
      </c>
      <c r="E4" s="29">
        <v>1</v>
      </c>
      <c r="F4" s="10">
        <v>2.785</v>
      </c>
      <c r="G4" s="10">
        <v>0.674</v>
      </c>
      <c r="H4" s="10">
        <v>4.13204747774481</v>
      </c>
      <c r="I4" s="10">
        <v>-103.569882226981</v>
      </c>
      <c r="J4" s="10">
        <v>3.006933875803</v>
      </c>
      <c r="K4" s="14">
        <v>0.520942184154176</v>
      </c>
      <c r="L4" s="14">
        <v>0.571220556745182</v>
      </c>
      <c r="M4" s="10">
        <v>5.73684729064039</v>
      </c>
      <c r="N4" s="10">
        <v>8.712</v>
      </c>
      <c r="O4" s="14">
        <v>0.758620689655172</v>
      </c>
      <c r="P4" s="18">
        <v>20</v>
      </c>
      <c r="Q4" s="18">
        <v>20</v>
      </c>
      <c r="R4" s="18">
        <v>0</v>
      </c>
      <c r="S4" s="14">
        <v>0</v>
      </c>
      <c r="T4" s="10">
        <v>2.18129262086514</v>
      </c>
      <c r="U4" s="10">
        <v>5.402</v>
      </c>
      <c r="V4" s="14">
        <v>0.568702290076336</v>
      </c>
      <c r="W4" s="18">
        <v>26</v>
      </c>
      <c r="X4" s="18">
        <v>26</v>
      </c>
      <c r="Y4" s="18">
        <v>0</v>
      </c>
      <c r="Z4" s="14">
        <v>0</v>
      </c>
      <c r="AA4" s="10">
        <v>-103.770787709497</v>
      </c>
      <c r="AB4" s="10">
        <v>2.94550279329609</v>
      </c>
      <c r="AC4" s="14">
        <v>0.536312849162011</v>
      </c>
      <c r="AD4" s="14">
        <v>0.575418994413408</v>
      </c>
      <c r="AE4" s="10">
        <v>5.65608163265306</v>
      </c>
      <c r="AF4" s="10">
        <v>8.535</v>
      </c>
      <c r="AG4" s="14">
        <v>0.795918367346939</v>
      </c>
      <c r="AH4" s="18">
        <v>20</v>
      </c>
      <c r="AI4" s="18">
        <v>20</v>
      </c>
      <c r="AJ4" s="18">
        <v>0</v>
      </c>
      <c r="AK4" s="14">
        <v>0</v>
      </c>
      <c r="AL4" s="10">
        <v>2.04102941176471</v>
      </c>
      <c r="AM4" s="10">
        <v>5.025</v>
      </c>
      <c r="AN4" s="14">
        <v>0.602941176470588</v>
      </c>
      <c r="AO4" s="18">
        <v>26</v>
      </c>
      <c r="AP4" s="18">
        <v>26</v>
      </c>
      <c r="AQ4" s="18">
        <v>0</v>
      </c>
      <c r="AR4" s="14">
        <v>0</v>
      </c>
    </row>
    <row r="5" spans="1:44">
      <c r="A5" s="3" t="s">
        <v>44</v>
      </c>
      <c r="B5" s="3" t="s">
        <v>45</v>
      </c>
      <c r="C5" s="4" t="s">
        <v>46</v>
      </c>
      <c r="D5" s="5" t="s">
        <v>47</v>
      </c>
      <c r="E5" s="29">
        <v>1</v>
      </c>
      <c r="F5" s="10"/>
      <c r="G5" s="10">
        <v>0.243</v>
      </c>
      <c r="H5" s="10"/>
      <c r="I5" s="10">
        <v>-101.286661743687</v>
      </c>
      <c r="J5" s="10">
        <v>7.61355478799428</v>
      </c>
      <c r="K5" s="14">
        <v>0.863744640304907</v>
      </c>
      <c r="L5" s="14">
        <v>0.918532634587899</v>
      </c>
      <c r="M5" s="10">
        <v>4.89634210526316</v>
      </c>
      <c r="N5" s="10">
        <v>7.268</v>
      </c>
      <c r="O5" s="14">
        <v>0.940789473684211</v>
      </c>
      <c r="P5" s="18">
        <v>10</v>
      </c>
      <c r="Q5" s="18">
        <v>10</v>
      </c>
      <c r="R5" s="18">
        <v>0</v>
      </c>
      <c r="S5" s="14">
        <v>0</v>
      </c>
      <c r="T5" s="10">
        <v>3.27151324503311</v>
      </c>
      <c r="U5" s="10">
        <v>5.626</v>
      </c>
      <c r="V5" s="14">
        <v>0.811258278145695</v>
      </c>
      <c r="W5" s="18">
        <v>10</v>
      </c>
      <c r="X5" s="18">
        <v>10</v>
      </c>
      <c r="Y5" s="18">
        <v>0</v>
      </c>
      <c r="Z5" s="14">
        <v>0</v>
      </c>
      <c r="AA5" s="10"/>
      <c r="AB5" s="10"/>
      <c r="AC5" s="14"/>
      <c r="AD5" s="14"/>
      <c r="AE5" s="10"/>
      <c r="AF5" s="10"/>
      <c r="AG5" s="14"/>
      <c r="AH5" s="18"/>
      <c r="AI5" s="18"/>
      <c r="AJ5" s="18"/>
      <c r="AK5" s="14"/>
      <c r="AL5" s="10"/>
      <c r="AM5" s="10"/>
      <c r="AN5" s="14"/>
      <c r="AO5" s="18"/>
      <c r="AP5" s="18"/>
      <c r="AQ5" s="18"/>
      <c r="AR5" s="14"/>
    </row>
    <row r="6" spans="1:44">
      <c r="A6" s="3" t="s">
        <v>51</v>
      </c>
      <c r="B6" s="6" t="s">
        <v>52</v>
      </c>
      <c r="C6" s="6" t="s">
        <v>46</v>
      </c>
      <c r="D6" s="6" t="s">
        <v>53</v>
      </c>
      <c r="E6" s="30">
        <v>2</v>
      </c>
      <c r="F6" s="11" t="s">
        <v>54</v>
      </c>
      <c r="G6" s="11">
        <v>0.486027777777778</v>
      </c>
      <c r="H6" s="11" t="s">
        <v>54</v>
      </c>
      <c r="I6" s="11">
        <v>-98.1701789876218</v>
      </c>
      <c r="J6" s="11">
        <v>-0.760863921272442</v>
      </c>
      <c r="K6" s="15">
        <v>0.489089019743679</v>
      </c>
      <c r="L6" s="15">
        <v>0.489319939960744</v>
      </c>
      <c r="M6" s="11">
        <v>6.00543417037037</v>
      </c>
      <c r="N6" s="11">
        <v>7.84315</v>
      </c>
      <c r="O6" s="15">
        <v>0.988888888888889</v>
      </c>
      <c r="P6" s="19">
        <v>10</v>
      </c>
      <c r="Q6" s="19">
        <v>9</v>
      </c>
      <c r="R6" s="19">
        <v>1</v>
      </c>
      <c r="S6" s="15">
        <v>0.111111111111111</v>
      </c>
      <c r="T6" s="11">
        <v>3.57970383</v>
      </c>
      <c r="U6" s="11">
        <v>5.44545</v>
      </c>
      <c r="V6" s="15">
        <v>0.96</v>
      </c>
      <c r="W6" s="19">
        <v>10</v>
      </c>
      <c r="X6" s="19">
        <v>10</v>
      </c>
      <c r="Y6" s="19">
        <v>0</v>
      </c>
      <c r="Z6" s="15">
        <v>0</v>
      </c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</row>
    <row r="7" spans="1:44">
      <c r="A7" s="3" t="s">
        <v>51</v>
      </c>
      <c r="B7" s="6" t="s">
        <v>55</v>
      </c>
      <c r="C7" s="6" t="s">
        <v>46</v>
      </c>
      <c r="D7" s="6" t="s">
        <v>47</v>
      </c>
      <c r="E7" s="34">
        <v>1</v>
      </c>
      <c r="F7" s="12" t="s">
        <v>54</v>
      </c>
      <c r="G7" s="12">
        <v>0.395305555555556</v>
      </c>
      <c r="H7" s="12" t="s">
        <v>54</v>
      </c>
      <c r="I7" s="12">
        <v>-97.0988929118388</v>
      </c>
      <c r="J7" s="12">
        <v>14.6262281150878</v>
      </c>
      <c r="K7" s="16">
        <v>1</v>
      </c>
      <c r="L7" s="16">
        <v>1</v>
      </c>
      <c r="M7" s="12">
        <v>5.16102440468227</v>
      </c>
      <c r="N7" s="12">
        <v>6.45569</v>
      </c>
      <c r="O7" s="16">
        <v>0.989966555183946</v>
      </c>
      <c r="P7" s="20">
        <v>10</v>
      </c>
      <c r="Q7" s="20">
        <v>10</v>
      </c>
      <c r="R7" s="20">
        <v>0</v>
      </c>
      <c r="S7" s="16">
        <v>0</v>
      </c>
      <c r="T7" s="12">
        <v>0.79907347</v>
      </c>
      <c r="U7" s="12">
        <v>0.984024</v>
      </c>
      <c r="V7" s="16">
        <v>0.96</v>
      </c>
      <c r="W7" s="20">
        <v>10</v>
      </c>
      <c r="X7" s="20">
        <v>10</v>
      </c>
      <c r="Y7" s="20">
        <v>0</v>
      </c>
      <c r="Z7" s="16">
        <v>0</v>
      </c>
      <c r="AA7" s="12"/>
      <c r="AB7" s="12"/>
      <c r="AC7" s="16"/>
      <c r="AD7" s="16"/>
      <c r="AE7" s="12"/>
      <c r="AF7" s="12"/>
      <c r="AG7" s="16"/>
      <c r="AH7" s="20"/>
      <c r="AI7" s="20"/>
      <c r="AJ7" s="20"/>
      <c r="AK7" s="16"/>
      <c r="AL7" s="12"/>
      <c r="AM7" s="12"/>
      <c r="AN7" s="16"/>
      <c r="AO7" s="20"/>
      <c r="AP7" s="20"/>
      <c r="AQ7" s="20"/>
      <c r="AR7" s="16"/>
    </row>
    <row r="8" spans="1:44">
      <c r="A8" s="3" t="s">
        <v>44</v>
      </c>
      <c r="B8" s="3" t="s">
        <v>56</v>
      </c>
      <c r="C8" s="4" t="s">
        <v>46</v>
      </c>
      <c r="D8" s="5" t="s">
        <v>53</v>
      </c>
      <c r="E8" s="29">
        <v>2</v>
      </c>
      <c r="F8" s="10"/>
      <c r="G8" s="10">
        <v>0.245</v>
      </c>
      <c r="H8" s="10"/>
      <c r="I8" s="10">
        <v>-96.8137614849188</v>
      </c>
      <c r="J8" s="10">
        <v>-2.26375870069606</v>
      </c>
      <c r="K8" s="14">
        <v>0.735266821345708</v>
      </c>
      <c r="L8" s="14">
        <v>0.735266821345708</v>
      </c>
      <c r="M8" s="10">
        <v>6.95922875816993</v>
      </c>
      <c r="N8" s="10">
        <v>9.305</v>
      </c>
      <c r="O8" s="14">
        <v>0.970588235294118</v>
      </c>
      <c r="P8" s="18">
        <v>10</v>
      </c>
      <c r="Q8" s="18">
        <v>10</v>
      </c>
      <c r="R8" s="18">
        <v>0</v>
      </c>
      <c r="S8" s="14">
        <v>0</v>
      </c>
      <c r="T8" s="10">
        <v>4.44568333333333</v>
      </c>
      <c r="U8" s="10">
        <v>5.254</v>
      </c>
      <c r="V8" s="14">
        <v>1</v>
      </c>
      <c r="W8" s="18">
        <v>10</v>
      </c>
      <c r="X8" s="18">
        <v>10</v>
      </c>
      <c r="Y8" s="18">
        <v>0</v>
      </c>
      <c r="Z8" s="14">
        <v>0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>
      <c r="A9" s="3" t="s">
        <v>51</v>
      </c>
      <c r="B9" s="6" t="s">
        <v>52</v>
      </c>
      <c r="C9" s="6" t="s">
        <v>46</v>
      </c>
      <c r="D9" s="6" t="s">
        <v>57</v>
      </c>
      <c r="E9" s="30">
        <v>3</v>
      </c>
      <c r="F9" s="11" t="s">
        <v>54</v>
      </c>
      <c r="G9" s="11">
        <v>0.436072222222222</v>
      </c>
      <c r="H9" s="11" t="s">
        <v>54</v>
      </c>
      <c r="I9" s="11">
        <v>-96.7030559400263</v>
      </c>
      <c r="J9" s="11">
        <v>-0.724243953527914</v>
      </c>
      <c r="K9" s="15">
        <v>0.78505880832364</v>
      </c>
      <c r="L9" s="15">
        <v>0.78505880832364</v>
      </c>
      <c r="M9" s="11">
        <v>4.68857235333333</v>
      </c>
      <c r="N9" s="11">
        <v>7.39491</v>
      </c>
      <c r="O9" s="15">
        <v>0.843333333333333</v>
      </c>
      <c r="P9" s="19">
        <v>10</v>
      </c>
      <c r="Q9" s="19">
        <v>10</v>
      </c>
      <c r="R9" s="19">
        <v>0</v>
      </c>
      <c r="S9" s="15">
        <v>0</v>
      </c>
      <c r="T9" s="11">
        <v>2.93109903666667</v>
      </c>
      <c r="U9" s="11">
        <v>4.45328</v>
      </c>
      <c r="V9" s="15">
        <v>0.953333333333333</v>
      </c>
      <c r="W9" s="19">
        <v>10</v>
      </c>
      <c r="X9" s="19">
        <v>10</v>
      </c>
      <c r="Y9" s="19">
        <v>0</v>
      </c>
      <c r="Z9" s="15">
        <v>0</v>
      </c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</row>
    <row r="10" spans="1:44">
      <c r="A10" s="3" t="s">
        <v>51</v>
      </c>
      <c r="B10" s="6" t="s">
        <v>52</v>
      </c>
      <c r="C10" s="6" t="s">
        <v>46</v>
      </c>
      <c r="D10" s="6" t="s">
        <v>53</v>
      </c>
      <c r="E10" s="30">
        <v>3</v>
      </c>
      <c r="F10" s="11" t="s">
        <v>54</v>
      </c>
      <c r="G10" s="11">
        <v>0.486216666666667</v>
      </c>
      <c r="H10" s="11" t="s">
        <v>54</v>
      </c>
      <c r="I10" s="11">
        <v>-96.5569218946332</v>
      </c>
      <c r="J10" s="11">
        <v>0.836265639096813</v>
      </c>
      <c r="K10" s="15">
        <v>0.587590389549802</v>
      </c>
      <c r="L10" s="15">
        <v>0.587590389549802</v>
      </c>
      <c r="M10" s="11">
        <v>5.88689567333333</v>
      </c>
      <c r="N10" s="11">
        <v>7.71531</v>
      </c>
      <c r="O10" s="15">
        <v>0.97</v>
      </c>
      <c r="P10" s="19">
        <v>10</v>
      </c>
      <c r="Q10" s="19">
        <v>10</v>
      </c>
      <c r="R10" s="19">
        <v>0</v>
      </c>
      <c r="S10" s="15">
        <v>0</v>
      </c>
      <c r="T10" s="11">
        <v>3.5233069</v>
      </c>
      <c r="U10" s="11">
        <v>5.08946</v>
      </c>
      <c r="V10" s="15">
        <v>0.99</v>
      </c>
      <c r="W10" s="19">
        <v>10</v>
      </c>
      <c r="X10" s="19">
        <v>10</v>
      </c>
      <c r="Y10" s="19">
        <v>0</v>
      </c>
      <c r="Z10" s="15">
        <v>0</v>
      </c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</row>
    <row r="11" spans="1:44">
      <c r="A11" s="3" t="s">
        <v>51</v>
      </c>
      <c r="B11" s="6" t="s">
        <v>52</v>
      </c>
      <c r="C11" s="6" t="s">
        <v>46</v>
      </c>
      <c r="D11" s="6" t="s">
        <v>53</v>
      </c>
      <c r="E11" s="30">
        <v>1</v>
      </c>
      <c r="F11" s="11" t="s">
        <v>54</v>
      </c>
      <c r="G11" s="11">
        <v>0.486391666666667</v>
      </c>
      <c r="H11" s="11" t="s">
        <v>54</v>
      </c>
      <c r="I11" s="11">
        <v>-95.6315309108701</v>
      </c>
      <c r="J11" s="11">
        <v>-2.88703350802083</v>
      </c>
      <c r="K11" s="15">
        <v>0.497199039670744</v>
      </c>
      <c r="L11" s="15">
        <v>0.497199039670744</v>
      </c>
      <c r="M11" s="11">
        <v>9.58033293</v>
      </c>
      <c r="N11" s="11">
        <v>10.0364</v>
      </c>
      <c r="O11" s="15">
        <v>1</v>
      </c>
      <c r="P11" s="19">
        <v>10</v>
      </c>
      <c r="Q11" s="19">
        <v>10</v>
      </c>
      <c r="R11" s="19">
        <v>0</v>
      </c>
      <c r="S11" s="15">
        <v>0</v>
      </c>
      <c r="T11" s="11">
        <v>4.68977191111111</v>
      </c>
      <c r="U11" s="11">
        <v>6.10442</v>
      </c>
      <c r="V11" s="15">
        <v>1</v>
      </c>
      <c r="W11" s="19">
        <v>10</v>
      </c>
      <c r="X11" s="19">
        <v>10</v>
      </c>
      <c r="Y11" s="19">
        <v>0</v>
      </c>
      <c r="Z11" s="15">
        <v>0</v>
      </c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</row>
    <row r="12" spans="1:44">
      <c r="A12" s="3" t="s">
        <v>51</v>
      </c>
      <c r="B12" s="4" t="s">
        <v>58</v>
      </c>
      <c r="C12" s="5" t="s">
        <v>46</v>
      </c>
      <c r="D12" s="6" t="s">
        <v>53</v>
      </c>
      <c r="E12" s="30">
        <v>2</v>
      </c>
      <c r="F12" s="11" t="s">
        <v>54</v>
      </c>
      <c r="G12" s="11">
        <v>0.402002777777778</v>
      </c>
      <c r="H12" s="11" t="s">
        <v>54</v>
      </c>
      <c r="I12" s="11">
        <v>-95.0968749768452</v>
      </c>
      <c r="J12" s="11">
        <v>-0.101785234710338</v>
      </c>
      <c r="K12" s="15">
        <v>0.888069051928164</v>
      </c>
      <c r="L12" s="15">
        <v>0.888069051928164</v>
      </c>
      <c r="M12" s="11">
        <v>7.49020954333333</v>
      </c>
      <c r="N12" s="11">
        <v>9.45235</v>
      </c>
      <c r="O12" s="15">
        <v>1</v>
      </c>
      <c r="P12" s="19">
        <v>10</v>
      </c>
      <c r="Q12" s="19">
        <v>10</v>
      </c>
      <c r="R12" s="19">
        <v>0</v>
      </c>
      <c r="S12" s="15">
        <v>0</v>
      </c>
      <c r="T12" s="11">
        <v>4.95767395333333</v>
      </c>
      <c r="U12" s="11">
        <v>7.66467</v>
      </c>
      <c r="V12" s="15">
        <v>0.996666666666667</v>
      </c>
      <c r="W12" s="19">
        <v>10</v>
      </c>
      <c r="X12" s="19">
        <v>10</v>
      </c>
      <c r="Y12" s="19">
        <v>0</v>
      </c>
      <c r="Z12" s="15">
        <v>0</v>
      </c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</row>
    <row r="13" spans="1:44">
      <c r="A13" s="3" t="s">
        <v>51</v>
      </c>
      <c r="B13" s="6" t="s">
        <v>52</v>
      </c>
      <c r="C13" s="6" t="s">
        <v>46</v>
      </c>
      <c r="D13" s="6" t="s">
        <v>47</v>
      </c>
      <c r="E13" s="30">
        <v>1</v>
      </c>
      <c r="F13" s="11" t="s">
        <v>54</v>
      </c>
      <c r="G13" s="11">
        <v>0.436691666666667</v>
      </c>
      <c r="H13" s="11" t="s">
        <v>54</v>
      </c>
      <c r="I13" s="11">
        <v>-94.4625654285307</v>
      </c>
      <c r="J13" s="11">
        <v>15.1833398064946</v>
      </c>
      <c r="K13" s="15">
        <v>0.987834549878346</v>
      </c>
      <c r="L13" s="15">
        <v>0.996158278908951</v>
      </c>
      <c r="M13" s="11">
        <v>6.37963145333333</v>
      </c>
      <c r="N13" s="11">
        <v>7.87784</v>
      </c>
      <c r="O13" s="15">
        <v>1</v>
      </c>
      <c r="P13" s="19">
        <v>10</v>
      </c>
      <c r="Q13" s="19">
        <v>10</v>
      </c>
      <c r="R13" s="19">
        <v>0</v>
      </c>
      <c r="S13" s="15">
        <v>0</v>
      </c>
      <c r="T13" s="11">
        <v>1.8518178</v>
      </c>
      <c r="U13" s="11">
        <v>4.47552</v>
      </c>
      <c r="V13" s="15">
        <v>0.793333333333333</v>
      </c>
      <c r="W13" s="19">
        <v>10</v>
      </c>
      <c r="X13" s="19">
        <v>10</v>
      </c>
      <c r="Y13" s="19">
        <v>0</v>
      </c>
      <c r="Z13" s="15">
        <v>0</v>
      </c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</row>
    <row r="14" spans="1:44">
      <c r="A14" s="3" t="s">
        <v>44</v>
      </c>
      <c r="B14" s="3" t="s">
        <v>59</v>
      </c>
      <c r="C14" s="4" t="s">
        <v>46</v>
      </c>
      <c r="D14" s="5" t="s">
        <v>47</v>
      </c>
      <c r="E14" s="29">
        <v>2</v>
      </c>
      <c r="F14" s="10"/>
      <c r="G14" s="10">
        <v>0.24</v>
      </c>
      <c r="H14" s="10"/>
      <c r="I14" s="10">
        <v>-94.3418519572954</v>
      </c>
      <c r="J14" s="10">
        <v>-7.14557580071174</v>
      </c>
      <c r="K14" s="14">
        <v>0</v>
      </c>
      <c r="L14" s="14">
        <v>0</v>
      </c>
      <c r="M14" s="10">
        <v>2.82614332247557</v>
      </c>
      <c r="N14" s="10">
        <v>5.479</v>
      </c>
      <c r="O14" s="14">
        <v>0.641693811074919</v>
      </c>
      <c r="P14" s="18">
        <v>10</v>
      </c>
      <c r="Q14" s="18">
        <v>10</v>
      </c>
      <c r="R14" s="18">
        <v>0</v>
      </c>
      <c r="S14" s="14">
        <v>0</v>
      </c>
      <c r="T14" s="10">
        <v>4.48569333333333</v>
      </c>
      <c r="U14" s="10">
        <v>5.5299997</v>
      </c>
      <c r="V14" s="14">
        <v>1</v>
      </c>
      <c r="W14" s="18">
        <v>10</v>
      </c>
      <c r="X14" s="18">
        <v>10</v>
      </c>
      <c r="Y14" s="18">
        <v>0</v>
      </c>
      <c r="Z14" s="14">
        <v>0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>
      <c r="A15" s="3" t="s">
        <v>44</v>
      </c>
      <c r="B15" s="7" t="s">
        <v>60</v>
      </c>
      <c r="C15" s="4" t="s">
        <v>46</v>
      </c>
      <c r="D15" s="5" t="s">
        <v>47</v>
      </c>
      <c r="E15" s="29">
        <v>1</v>
      </c>
      <c r="F15" s="10"/>
      <c r="G15" s="10">
        <v>0.267</v>
      </c>
      <c r="H15" s="10"/>
      <c r="I15" s="10">
        <v>-94.2905292769327</v>
      </c>
      <c r="J15" s="10">
        <v>14.1390279224839</v>
      </c>
      <c r="K15" s="14">
        <v>1</v>
      </c>
      <c r="L15" s="14">
        <v>1</v>
      </c>
      <c r="M15" s="10">
        <v>6.05512745098039</v>
      </c>
      <c r="N15" s="10">
        <v>6.615</v>
      </c>
      <c r="O15" s="14">
        <v>0.996732026143791</v>
      </c>
      <c r="P15" s="18">
        <v>10</v>
      </c>
      <c r="Q15" s="18">
        <v>10</v>
      </c>
      <c r="R15" s="18">
        <v>0</v>
      </c>
      <c r="S15" s="14">
        <v>0</v>
      </c>
      <c r="T15" s="10">
        <v>0.720282467532468</v>
      </c>
      <c r="U15" s="10">
        <v>2.526</v>
      </c>
      <c r="V15" s="14">
        <v>0.409090909090909</v>
      </c>
      <c r="W15" s="18">
        <v>10</v>
      </c>
      <c r="X15" s="18">
        <v>10</v>
      </c>
      <c r="Y15" s="18">
        <v>0</v>
      </c>
      <c r="Z15" s="14">
        <v>0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>
      <c r="A16" s="3" t="s">
        <v>44</v>
      </c>
      <c r="B16" s="7" t="s">
        <v>60</v>
      </c>
      <c r="C16" s="4" t="s">
        <v>46</v>
      </c>
      <c r="D16" s="5" t="s">
        <v>53</v>
      </c>
      <c r="E16" s="29">
        <v>1</v>
      </c>
      <c r="F16" s="10"/>
      <c r="G16" s="10">
        <v>0.246</v>
      </c>
      <c r="H16" s="10"/>
      <c r="I16" s="10">
        <v>-92.3084245860739</v>
      </c>
      <c r="J16" s="10">
        <v>13.4760149693808</v>
      </c>
      <c r="K16" s="14">
        <v>1</v>
      </c>
      <c r="L16" s="14">
        <v>1</v>
      </c>
      <c r="M16" s="10">
        <v>5.77524590163934</v>
      </c>
      <c r="N16" s="10">
        <v>6.382</v>
      </c>
      <c r="O16" s="14">
        <v>0.99672131147541</v>
      </c>
      <c r="P16" s="18">
        <v>10</v>
      </c>
      <c r="Q16" s="18">
        <v>10</v>
      </c>
      <c r="R16" s="18">
        <v>0</v>
      </c>
      <c r="S16" s="14">
        <v>0</v>
      </c>
      <c r="T16" s="10">
        <v>0.931244224422442</v>
      </c>
      <c r="U16" s="10">
        <v>2.601</v>
      </c>
      <c r="V16" s="14">
        <v>0.462046204620462</v>
      </c>
      <c r="W16" s="18">
        <v>10</v>
      </c>
      <c r="X16" s="18">
        <v>10</v>
      </c>
      <c r="Y16" s="18">
        <v>0</v>
      </c>
      <c r="Z16" s="14">
        <v>0</v>
      </c>
      <c r="AA16" s="10"/>
      <c r="AB16" s="10"/>
      <c r="AC16" s="14"/>
      <c r="AD16" s="14"/>
      <c r="AE16" s="10"/>
      <c r="AF16" s="10"/>
      <c r="AG16" s="14"/>
      <c r="AH16" s="18"/>
      <c r="AI16" s="18"/>
      <c r="AJ16" s="18"/>
      <c r="AK16" s="14"/>
      <c r="AL16" s="10"/>
      <c r="AM16" s="10"/>
      <c r="AN16" s="14"/>
      <c r="AO16" s="18"/>
      <c r="AP16" s="18"/>
      <c r="AQ16" s="18"/>
      <c r="AR16" s="14"/>
    </row>
    <row r="17" spans="1:44">
      <c r="A17" s="3" t="s">
        <v>44</v>
      </c>
      <c r="B17" s="7" t="s">
        <v>60</v>
      </c>
      <c r="C17" s="4" t="s">
        <v>46</v>
      </c>
      <c r="D17" s="5" t="s">
        <v>57</v>
      </c>
      <c r="E17" s="29">
        <v>1</v>
      </c>
      <c r="F17" s="10"/>
      <c r="G17" s="10">
        <v>0.242</v>
      </c>
      <c r="H17" s="10"/>
      <c r="I17" s="10">
        <v>-92.1209646139706</v>
      </c>
      <c r="J17" s="10">
        <v>3.59755974264706</v>
      </c>
      <c r="K17" s="14">
        <v>1</v>
      </c>
      <c r="L17" s="14">
        <v>1</v>
      </c>
      <c r="M17" s="10">
        <v>4.29029836065574</v>
      </c>
      <c r="N17" s="10">
        <v>4.474</v>
      </c>
      <c r="O17" s="14">
        <v>0.99016393442623</v>
      </c>
      <c r="P17" s="18">
        <v>10</v>
      </c>
      <c r="Q17" s="18">
        <v>10</v>
      </c>
      <c r="R17" s="18">
        <v>0</v>
      </c>
      <c r="S17" s="14">
        <v>0</v>
      </c>
      <c r="T17" s="10">
        <v>0.965039344262295</v>
      </c>
      <c r="U17" s="10">
        <v>1.556</v>
      </c>
      <c r="V17" s="14">
        <v>0.809836065573771</v>
      </c>
      <c r="W17" s="18">
        <v>10</v>
      </c>
      <c r="X17" s="18">
        <v>10</v>
      </c>
      <c r="Y17" s="18">
        <v>0</v>
      </c>
      <c r="Z17" s="14">
        <v>0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</row>
    <row r="18" spans="1:44">
      <c r="A18" s="3" t="s">
        <v>51</v>
      </c>
      <c r="B18" s="4" t="s">
        <v>58</v>
      </c>
      <c r="C18" s="5" t="s">
        <v>46</v>
      </c>
      <c r="D18" s="6" t="s">
        <v>53</v>
      </c>
      <c r="E18" s="30">
        <v>3</v>
      </c>
      <c r="F18" s="11" t="s">
        <v>54</v>
      </c>
      <c r="G18" s="11">
        <v>0.402166666666667</v>
      </c>
      <c r="H18" s="11" t="s">
        <v>54</v>
      </c>
      <c r="I18" s="11">
        <v>-91.9256835202265</v>
      </c>
      <c r="J18" s="11">
        <v>1.00219883461696</v>
      </c>
      <c r="K18" s="15">
        <v>0.936731843575419</v>
      </c>
      <c r="L18" s="15">
        <v>0.936731843575419</v>
      </c>
      <c r="M18" s="11">
        <v>8.00027811</v>
      </c>
      <c r="N18" s="11">
        <v>9.75679</v>
      </c>
      <c r="O18" s="15">
        <v>1</v>
      </c>
      <c r="P18" s="19">
        <v>10</v>
      </c>
      <c r="Q18" s="19">
        <v>10</v>
      </c>
      <c r="R18" s="19">
        <v>0</v>
      </c>
      <c r="S18" s="15">
        <v>0</v>
      </c>
      <c r="T18" s="11">
        <v>4.47744701</v>
      </c>
      <c r="U18" s="11">
        <v>5.97837</v>
      </c>
      <c r="V18" s="15">
        <v>1</v>
      </c>
      <c r="W18" s="19">
        <v>10</v>
      </c>
      <c r="X18" s="19">
        <v>10</v>
      </c>
      <c r="Y18" s="19">
        <v>0</v>
      </c>
      <c r="Z18" s="15">
        <v>0</v>
      </c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</row>
    <row r="19" spans="1:44">
      <c r="A19" s="3" t="s">
        <v>51</v>
      </c>
      <c r="B19" s="6" t="s">
        <v>52</v>
      </c>
      <c r="C19" s="6" t="s">
        <v>46</v>
      </c>
      <c r="D19" s="6" t="s">
        <v>47</v>
      </c>
      <c r="E19" s="30">
        <v>3</v>
      </c>
      <c r="F19" s="11" t="s">
        <v>54</v>
      </c>
      <c r="G19" s="11">
        <v>0.436494444444444</v>
      </c>
      <c r="H19" s="11" t="s">
        <v>54</v>
      </c>
      <c r="I19" s="11">
        <v>-91.8736710317174</v>
      </c>
      <c r="J19" s="11">
        <v>18.1797256462444</v>
      </c>
      <c r="K19" s="15">
        <v>1</v>
      </c>
      <c r="L19" s="15">
        <v>1</v>
      </c>
      <c r="M19" s="11">
        <v>8.53513267333333</v>
      </c>
      <c r="N19" s="11">
        <v>8.77806</v>
      </c>
      <c r="O19" s="15">
        <v>1</v>
      </c>
      <c r="P19" s="19">
        <v>10</v>
      </c>
      <c r="Q19" s="19">
        <v>10</v>
      </c>
      <c r="R19" s="19">
        <v>0</v>
      </c>
      <c r="S19" s="15">
        <v>0</v>
      </c>
      <c r="T19" s="11">
        <v>3.65191060333333</v>
      </c>
      <c r="U19" s="11">
        <v>5.12</v>
      </c>
      <c r="V19" s="15">
        <v>1</v>
      </c>
      <c r="W19" s="19">
        <v>10</v>
      </c>
      <c r="X19" s="19">
        <v>10</v>
      </c>
      <c r="Y19" s="19">
        <v>0</v>
      </c>
      <c r="Z19" s="15">
        <v>0</v>
      </c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</row>
    <row r="20" spans="1:44">
      <c r="A20" s="3" t="s">
        <v>44</v>
      </c>
      <c r="B20" s="3" t="s">
        <v>56</v>
      </c>
      <c r="C20" s="4" t="s">
        <v>46</v>
      </c>
      <c r="D20" s="5" t="s">
        <v>53</v>
      </c>
      <c r="E20" s="29">
        <v>1</v>
      </c>
      <c r="F20" s="10"/>
      <c r="G20" s="10">
        <v>0.26</v>
      </c>
      <c r="H20" s="10"/>
      <c r="I20" s="10">
        <v>-91.6838789575705</v>
      </c>
      <c r="J20" s="10">
        <v>11.2914602627611</v>
      </c>
      <c r="K20" s="14">
        <v>1</v>
      </c>
      <c r="L20" s="14">
        <v>1</v>
      </c>
      <c r="M20" s="10">
        <v>5.6768125</v>
      </c>
      <c r="N20" s="10">
        <v>5.9049997</v>
      </c>
      <c r="O20" s="14">
        <v>0.993421052631579</v>
      </c>
      <c r="P20" s="18">
        <v>10</v>
      </c>
      <c r="Q20" s="18">
        <v>10</v>
      </c>
      <c r="R20" s="18">
        <v>0</v>
      </c>
      <c r="S20" s="14">
        <v>0</v>
      </c>
      <c r="T20" s="10">
        <v>0.871407284768212</v>
      </c>
      <c r="U20" s="10">
        <v>2.555</v>
      </c>
      <c r="V20" s="14">
        <v>0.456953642384106</v>
      </c>
      <c r="W20" s="18">
        <v>10</v>
      </c>
      <c r="X20" s="18">
        <v>10</v>
      </c>
      <c r="Y20" s="18">
        <v>0</v>
      </c>
      <c r="Z20" s="14">
        <v>0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</row>
    <row r="21" spans="1:44">
      <c r="A21" s="3" t="s">
        <v>51</v>
      </c>
      <c r="B21" s="6" t="s">
        <v>52</v>
      </c>
      <c r="C21" s="6" t="s">
        <v>46</v>
      </c>
      <c r="D21" s="6" t="s">
        <v>47</v>
      </c>
      <c r="E21" s="30">
        <v>2</v>
      </c>
      <c r="F21" s="11" t="s">
        <v>54</v>
      </c>
      <c r="G21" s="11">
        <v>0.436333333333333</v>
      </c>
      <c r="H21" s="11" t="s">
        <v>54</v>
      </c>
      <c r="I21" s="11">
        <v>-91.3726607740085</v>
      </c>
      <c r="J21" s="11">
        <v>9.08861142846068</v>
      </c>
      <c r="K21" s="15">
        <v>1</v>
      </c>
      <c r="L21" s="15">
        <v>1</v>
      </c>
      <c r="M21" s="11">
        <v>7.89236921666667</v>
      </c>
      <c r="N21" s="11">
        <v>8.64303</v>
      </c>
      <c r="O21" s="15">
        <v>1</v>
      </c>
      <c r="P21" s="19">
        <v>10</v>
      </c>
      <c r="Q21" s="19">
        <v>10</v>
      </c>
      <c r="R21" s="19">
        <v>0</v>
      </c>
      <c r="S21" s="15">
        <v>0</v>
      </c>
      <c r="T21" s="11">
        <v>4.49707390333333</v>
      </c>
      <c r="U21" s="11">
        <v>6.0198</v>
      </c>
      <c r="V21" s="15">
        <v>0.996666666666667</v>
      </c>
      <c r="W21" s="19">
        <v>10</v>
      </c>
      <c r="X21" s="19">
        <v>10</v>
      </c>
      <c r="Y21" s="19">
        <v>0</v>
      </c>
      <c r="Z21" s="15">
        <v>0</v>
      </c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</row>
    <row r="22" spans="1:44">
      <c r="A22" s="3" t="s">
        <v>44</v>
      </c>
      <c r="B22" s="3" t="s">
        <v>56</v>
      </c>
      <c r="C22" s="4" t="s">
        <v>46</v>
      </c>
      <c r="D22" s="5" t="s">
        <v>47</v>
      </c>
      <c r="E22" s="29">
        <v>2</v>
      </c>
      <c r="F22" s="10"/>
      <c r="G22" s="10">
        <v>0.245</v>
      </c>
      <c r="H22" s="10"/>
      <c r="I22" s="10">
        <v>-91.328715179606</v>
      </c>
      <c r="J22" s="10">
        <v>2.99390428736964</v>
      </c>
      <c r="K22" s="14">
        <v>0.952491309385863</v>
      </c>
      <c r="L22" s="14">
        <v>0.952491309385863</v>
      </c>
      <c r="M22" s="10">
        <v>7.9377582781457</v>
      </c>
      <c r="N22" s="10">
        <v>9.863</v>
      </c>
      <c r="O22" s="14">
        <v>0.983443708609272</v>
      </c>
      <c r="P22" s="18">
        <v>10</v>
      </c>
      <c r="Q22" s="18">
        <v>10</v>
      </c>
      <c r="R22" s="18">
        <v>0</v>
      </c>
      <c r="S22" s="14">
        <v>0</v>
      </c>
      <c r="T22" s="10">
        <v>4.39054</v>
      </c>
      <c r="U22" s="10">
        <v>5.396</v>
      </c>
      <c r="V22" s="14">
        <v>1</v>
      </c>
      <c r="W22" s="18">
        <v>10</v>
      </c>
      <c r="X22" s="18">
        <v>10</v>
      </c>
      <c r="Y22" s="18">
        <v>0</v>
      </c>
      <c r="Z22" s="14">
        <v>0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</row>
    <row r="23" spans="1:44">
      <c r="A23" s="3" t="s">
        <v>51</v>
      </c>
      <c r="B23" s="6" t="s">
        <v>52</v>
      </c>
      <c r="C23" s="6" t="s">
        <v>46</v>
      </c>
      <c r="D23" s="6" t="s">
        <v>53</v>
      </c>
      <c r="E23" s="30">
        <v>3</v>
      </c>
      <c r="F23" s="11" t="s">
        <v>54</v>
      </c>
      <c r="G23" s="11">
        <v>0.441641666666667</v>
      </c>
      <c r="H23" s="11" t="s">
        <v>54</v>
      </c>
      <c r="I23" s="11">
        <v>-91.1404505012131</v>
      </c>
      <c r="J23" s="11">
        <v>2.58517630716236</v>
      </c>
      <c r="K23" s="15">
        <v>0.923319858514401</v>
      </c>
      <c r="L23" s="15">
        <v>0.923319858514401</v>
      </c>
      <c r="M23" s="11">
        <v>7.12065970333333</v>
      </c>
      <c r="N23" s="11">
        <v>8.57113</v>
      </c>
      <c r="O23" s="15">
        <v>0.996666666666667</v>
      </c>
      <c r="P23" s="19">
        <v>10</v>
      </c>
      <c r="Q23" s="19">
        <v>10</v>
      </c>
      <c r="R23" s="19">
        <v>0</v>
      </c>
      <c r="S23" s="15">
        <v>0</v>
      </c>
      <c r="T23" s="11">
        <v>4.05864299333333</v>
      </c>
      <c r="U23" s="11">
        <v>5.4509</v>
      </c>
      <c r="V23" s="15">
        <v>0.996666666666667</v>
      </c>
      <c r="W23" s="19">
        <v>10</v>
      </c>
      <c r="X23" s="19">
        <v>10</v>
      </c>
      <c r="Y23" s="19">
        <v>0</v>
      </c>
      <c r="Z23" s="15">
        <v>0</v>
      </c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</row>
    <row r="24" spans="1:44">
      <c r="A24" s="3" t="s">
        <v>44</v>
      </c>
      <c r="B24" s="3" t="s">
        <v>59</v>
      </c>
      <c r="C24" s="4" t="s">
        <v>46</v>
      </c>
      <c r="D24" s="5" t="s">
        <v>47</v>
      </c>
      <c r="E24" s="29">
        <v>3</v>
      </c>
      <c r="F24" s="10"/>
      <c r="G24" s="10">
        <v>0.24</v>
      </c>
      <c r="H24" s="10"/>
      <c r="I24" s="10">
        <v>-90.799466387532</v>
      </c>
      <c r="J24" s="10">
        <v>-6.47378436845778</v>
      </c>
      <c r="K24" s="14">
        <v>0.00372179576645732</v>
      </c>
      <c r="L24" s="14">
        <v>0.00372179576645732</v>
      </c>
      <c r="M24" s="10">
        <v>2.40727960526316</v>
      </c>
      <c r="N24" s="10">
        <v>6.515</v>
      </c>
      <c r="O24" s="14">
        <v>0.3125</v>
      </c>
      <c r="P24" s="18">
        <v>10</v>
      </c>
      <c r="Q24" s="18">
        <v>10</v>
      </c>
      <c r="R24" s="18">
        <v>0</v>
      </c>
      <c r="S24" s="14">
        <v>0</v>
      </c>
      <c r="T24" s="10">
        <v>3.76077814569536</v>
      </c>
      <c r="U24" s="10">
        <v>5.505</v>
      </c>
      <c r="V24" s="14">
        <v>0.993377483443708</v>
      </c>
      <c r="W24" s="18">
        <v>10</v>
      </c>
      <c r="X24" s="18">
        <v>10</v>
      </c>
      <c r="Y24" s="18">
        <v>0</v>
      </c>
      <c r="Z24" s="14">
        <v>0</v>
      </c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</row>
    <row r="25" spans="1:44">
      <c r="A25" s="3" t="s">
        <v>51</v>
      </c>
      <c r="B25" s="6" t="s">
        <v>55</v>
      </c>
      <c r="C25" s="6" t="s">
        <v>49</v>
      </c>
      <c r="D25" s="6" t="s">
        <v>61</v>
      </c>
      <c r="E25" s="31">
        <v>1</v>
      </c>
      <c r="F25" s="11">
        <v>1.66221134400368</v>
      </c>
      <c r="G25" s="11">
        <v>0.349313888888889</v>
      </c>
      <c r="H25" s="11">
        <v>4.75850344597206</v>
      </c>
      <c r="I25" s="11">
        <v>-90.4304784327513</v>
      </c>
      <c r="J25" s="11">
        <v>15.5710655520864</v>
      </c>
      <c r="K25" s="15">
        <v>0.851745576279292</v>
      </c>
      <c r="L25" s="15">
        <v>0.930974015622509</v>
      </c>
      <c r="M25" s="11">
        <v>6.74280725185185</v>
      </c>
      <c r="N25" s="11">
        <v>8.72853</v>
      </c>
      <c r="O25" s="15">
        <v>1</v>
      </c>
      <c r="P25" s="19">
        <v>9</v>
      </c>
      <c r="Q25" s="19">
        <v>9</v>
      </c>
      <c r="R25" s="19">
        <v>0</v>
      </c>
      <c r="S25" s="15">
        <v>0</v>
      </c>
      <c r="T25" s="11">
        <v>1.72931169090909</v>
      </c>
      <c r="U25" s="11">
        <v>4.16542</v>
      </c>
      <c r="V25" s="15">
        <v>0.963636363636364</v>
      </c>
      <c r="W25" s="19">
        <v>10</v>
      </c>
      <c r="X25" s="19">
        <v>10</v>
      </c>
      <c r="Y25" s="19">
        <v>0</v>
      </c>
      <c r="Z25" s="15">
        <v>0</v>
      </c>
      <c r="AA25" s="11">
        <v>-91.5291809382841</v>
      </c>
      <c r="AB25" s="11">
        <v>14.8458496066515</v>
      </c>
      <c r="AC25" s="15">
        <v>0.858974358974359</v>
      </c>
      <c r="AD25" s="15">
        <v>0.935897435897436</v>
      </c>
      <c r="AE25" s="11">
        <v>6.7227379648322</v>
      </c>
      <c r="AF25" s="11">
        <v>8.672705</v>
      </c>
      <c r="AG25" s="15">
        <v>1</v>
      </c>
      <c r="AH25" s="19">
        <v>9</v>
      </c>
      <c r="AI25" s="19">
        <v>9</v>
      </c>
      <c r="AJ25" s="19">
        <v>0</v>
      </c>
      <c r="AK25" s="15">
        <v>0</v>
      </c>
      <c r="AL25" s="11">
        <v>1.8335377132495</v>
      </c>
      <c r="AM25" s="11">
        <v>4.1254978</v>
      </c>
      <c r="AN25" s="15">
        <v>0.961538461538462</v>
      </c>
      <c r="AO25" s="19">
        <v>10</v>
      </c>
      <c r="AP25" s="19">
        <v>10</v>
      </c>
      <c r="AQ25" s="19">
        <v>0</v>
      </c>
      <c r="AR25" s="15">
        <v>0</v>
      </c>
    </row>
    <row r="26" spans="1:44">
      <c r="A26" s="3" t="s">
        <v>51</v>
      </c>
      <c r="B26" s="4" t="s">
        <v>62</v>
      </c>
      <c r="C26" s="4" t="s">
        <v>46</v>
      </c>
      <c r="D26" s="4" t="s">
        <v>53</v>
      </c>
      <c r="E26" s="31">
        <v>3</v>
      </c>
      <c r="F26" s="11"/>
      <c r="G26" s="11">
        <v>0.38175</v>
      </c>
      <c r="H26" s="11"/>
      <c r="I26" s="11">
        <v>-90.3552678748444</v>
      </c>
      <c r="J26" s="11">
        <v>11.3896817843026</v>
      </c>
      <c r="K26" s="15">
        <v>0.999271561771562</v>
      </c>
      <c r="L26" s="15">
        <v>0.999271561771562</v>
      </c>
      <c r="M26" s="11">
        <v>8.45457587333333</v>
      </c>
      <c r="N26" s="11">
        <v>8.82717</v>
      </c>
      <c r="O26" s="15">
        <v>1</v>
      </c>
      <c r="P26" s="19">
        <v>10</v>
      </c>
      <c r="Q26" s="19">
        <v>10</v>
      </c>
      <c r="R26" s="19">
        <v>0</v>
      </c>
      <c r="S26" s="15">
        <v>0</v>
      </c>
      <c r="T26" s="11">
        <v>4.52212661</v>
      </c>
      <c r="U26" s="11">
        <v>6.02577</v>
      </c>
      <c r="V26" s="15">
        <v>0.996666666666667</v>
      </c>
      <c r="W26" s="19">
        <v>10</v>
      </c>
      <c r="X26" s="19">
        <v>10</v>
      </c>
      <c r="Y26" s="19">
        <v>0</v>
      </c>
      <c r="Z26" s="15">
        <v>0</v>
      </c>
      <c r="AA26" s="11"/>
      <c r="AB26" s="11"/>
      <c r="AC26" s="15"/>
      <c r="AD26" s="15"/>
      <c r="AE26" s="11"/>
      <c r="AF26" s="11"/>
      <c r="AG26" s="15"/>
      <c r="AH26" s="19"/>
      <c r="AI26" s="19"/>
      <c r="AJ26" s="19"/>
      <c r="AK26" s="15"/>
      <c r="AL26" s="11"/>
      <c r="AM26" s="11"/>
      <c r="AN26" s="15"/>
      <c r="AO26" s="19"/>
      <c r="AP26" s="19"/>
      <c r="AQ26" s="19"/>
      <c r="AR26" s="15"/>
    </row>
    <row r="27" spans="1:44">
      <c r="A27" s="3" t="s">
        <v>44</v>
      </c>
      <c r="B27" s="3" t="s">
        <v>56</v>
      </c>
      <c r="C27" s="4" t="s">
        <v>46</v>
      </c>
      <c r="D27" s="5" t="s">
        <v>53</v>
      </c>
      <c r="E27" s="29">
        <v>3</v>
      </c>
      <c r="F27" s="10"/>
      <c r="G27" s="10">
        <v>0.245</v>
      </c>
      <c r="H27" s="10"/>
      <c r="I27" s="10">
        <v>-90.3001373857178</v>
      </c>
      <c r="J27" s="10">
        <v>-0.908030639980232</v>
      </c>
      <c r="K27" s="14">
        <v>0.853965900667161</v>
      </c>
      <c r="L27" s="14">
        <v>0.853965900667161</v>
      </c>
      <c r="M27" s="10">
        <v>2.44686274509804</v>
      </c>
      <c r="N27" s="10">
        <v>5.136</v>
      </c>
      <c r="O27" s="14">
        <v>0.486928104575163</v>
      </c>
      <c r="P27" s="18">
        <v>10</v>
      </c>
      <c r="Q27" s="18">
        <v>10</v>
      </c>
      <c r="R27" s="18">
        <v>0</v>
      </c>
      <c r="S27" s="14">
        <v>0</v>
      </c>
      <c r="T27" s="10">
        <v>4.42082333333333</v>
      </c>
      <c r="U27" s="10">
        <v>5.296</v>
      </c>
      <c r="V27" s="14">
        <v>0.996666666666667</v>
      </c>
      <c r="W27" s="18">
        <v>10</v>
      </c>
      <c r="X27" s="18">
        <v>10</v>
      </c>
      <c r="Y27" s="18">
        <v>0</v>
      </c>
      <c r="Z27" s="14">
        <v>0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</row>
    <row r="28" spans="1:44">
      <c r="A28" s="3" t="s">
        <v>44</v>
      </c>
      <c r="B28" s="7" t="s">
        <v>60</v>
      </c>
      <c r="C28" s="4" t="s">
        <v>49</v>
      </c>
      <c r="D28" s="5" t="s">
        <v>50</v>
      </c>
      <c r="E28" s="29">
        <v>3</v>
      </c>
      <c r="F28" s="10">
        <v>3.814</v>
      </c>
      <c r="G28" s="10">
        <v>0.409</v>
      </c>
      <c r="H28" s="10">
        <v>9.32518337408313</v>
      </c>
      <c r="I28" s="10">
        <v>-90.0557313800657</v>
      </c>
      <c r="J28" s="10">
        <v>1.07753970427163</v>
      </c>
      <c r="K28" s="14">
        <v>0.744660460021906</v>
      </c>
      <c r="L28" s="14">
        <v>0.744660460021906</v>
      </c>
      <c r="M28" s="10">
        <v>7.30303646833013</v>
      </c>
      <c r="N28" s="10">
        <v>8.904</v>
      </c>
      <c r="O28" s="14">
        <v>0.982725527831094</v>
      </c>
      <c r="P28" s="18">
        <v>17</v>
      </c>
      <c r="Q28" s="18">
        <v>17</v>
      </c>
      <c r="R28" s="18">
        <v>0</v>
      </c>
      <c r="S28" s="14">
        <v>0</v>
      </c>
      <c r="T28" s="10">
        <v>4.4860939334638</v>
      </c>
      <c r="U28" s="10">
        <v>5.8059998</v>
      </c>
      <c r="V28" s="14">
        <v>0.978473581213307</v>
      </c>
      <c r="W28" s="18">
        <v>17</v>
      </c>
      <c r="X28" s="18">
        <v>17</v>
      </c>
      <c r="Y28" s="18">
        <v>0</v>
      </c>
      <c r="Z28" s="14">
        <v>0</v>
      </c>
      <c r="AA28" s="10">
        <v>-89.2738177777778</v>
      </c>
      <c r="AB28" s="10">
        <v>1.40203555555556</v>
      </c>
      <c r="AC28" s="14">
        <v>0.764444444444444</v>
      </c>
      <c r="AD28" s="14">
        <v>0.764444444444444</v>
      </c>
      <c r="AE28" s="10">
        <v>7.31971621621622</v>
      </c>
      <c r="AF28" s="10">
        <v>8.946</v>
      </c>
      <c r="AG28" s="14">
        <v>1</v>
      </c>
      <c r="AH28" s="18">
        <v>17</v>
      </c>
      <c r="AI28" s="18">
        <v>17</v>
      </c>
      <c r="AJ28" s="18">
        <v>0</v>
      </c>
      <c r="AK28" s="14">
        <v>0</v>
      </c>
      <c r="AL28" s="10">
        <v>4.50313253012048</v>
      </c>
      <c r="AM28" s="10">
        <v>5.3190002</v>
      </c>
      <c r="AN28" s="14">
        <v>0.987951807228916</v>
      </c>
      <c r="AO28" s="18">
        <v>17</v>
      </c>
      <c r="AP28" s="18">
        <v>17</v>
      </c>
      <c r="AQ28" s="18">
        <v>0</v>
      </c>
      <c r="AR28" s="14">
        <v>0</v>
      </c>
    </row>
    <row r="29" spans="1:44">
      <c r="A29" s="3" t="s">
        <v>44</v>
      </c>
      <c r="B29" s="3" t="s">
        <v>56</v>
      </c>
      <c r="C29" s="4" t="s">
        <v>49</v>
      </c>
      <c r="D29" s="5" t="s">
        <v>61</v>
      </c>
      <c r="E29" s="29">
        <v>2</v>
      </c>
      <c r="F29" s="10">
        <v>6.101</v>
      </c>
      <c r="G29" s="10">
        <v>0.576</v>
      </c>
      <c r="H29" s="10">
        <v>10.5920138888889</v>
      </c>
      <c r="I29" s="10">
        <v>-89.7894586965135</v>
      </c>
      <c r="J29" s="10">
        <v>6.22792244453249</v>
      </c>
      <c r="K29" s="14">
        <v>0.889064976228209</v>
      </c>
      <c r="L29" s="14">
        <v>0.924029318541997</v>
      </c>
      <c r="M29" s="10">
        <v>8.33271038251366</v>
      </c>
      <c r="N29" s="10">
        <v>9.87</v>
      </c>
      <c r="O29" s="14">
        <v>0.976775956284153</v>
      </c>
      <c r="P29" s="18">
        <v>24</v>
      </c>
      <c r="Q29" s="18">
        <v>24</v>
      </c>
      <c r="R29" s="18">
        <v>0</v>
      </c>
      <c r="S29" s="14">
        <v>0</v>
      </c>
      <c r="T29" s="10">
        <v>4.16559084604716</v>
      </c>
      <c r="U29" s="10">
        <v>5.663</v>
      </c>
      <c r="V29" s="14">
        <v>0.943134535367545</v>
      </c>
      <c r="W29" s="18">
        <v>24</v>
      </c>
      <c r="X29" s="18">
        <v>24</v>
      </c>
      <c r="Y29" s="18">
        <v>0</v>
      </c>
      <c r="Z29" s="14">
        <v>0</v>
      </c>
      <c r="AA29" s="10">
        <v>-91.3935730027548</v>
      </c>
      <c r="AB29" s="10">
        <v>6.22360330578512</v>
      </c>
      <c r="AC29" s="14">
        <v>0.889807162534435</v>
      </c>
      <c r="AD29" s="14">
        <v>0.942148760330578</v>
      </c>
      <c r="AE29" s="10">
        <v>8.330912</v>
      </c>
      <c r="AF29" s="10">
        <v>9.775</v>
      </c>
      <c r="AG29" s="14">
        <v>0.992</v>
      </c>
      <c r="AH29" s="18">
        <v>24</v>
      </c>
      <c r="AI29" s="18">
        <v>24</v>
      </c>
      <c r="AJ29" s="18">
        <v>0</v>
      </c>
      <c r="AK29" s="14">
        <v>0</v>
      </c>
      <c r="AL29" s="10">
        <v>4.17578461538462</v>
      </c>
      <c r="AM29" s="10">
        <v>5.255</v>
      </c>
      <c r="AN29" s="14">
        <v>1</v>
      </c>
      <c r="AO29" s="18">
        <v>24</v>
      </c>
      <c r="AP29" s="18">
        <v>24</v>
      </c>
      <c r="AQ29" s="18">
        <v>0</v>
      </c>
      <c r="AR29" s="14">
        <v>0</v>
      </c>
    </row>
    <row r="30" spans="1:44">
      <c r="A30" s="3" t="s">
        <v>44</v>
      </c>
      <c r="B30" s="3" t="s">
        <v>45</v>
      </c>
      <c r="C30" s="4" t="s">
        <v>46</v>
      </c>
      <c r="D30" s="5" t="s">
        <v>57</v>
      </c>
      <c r="E30" s="29">
        <v>3</v>
      </c>
      <c r="F30" s="10"/>
      <c r="G30" s="10">
        <v>0.24</v>
      </c>
      <c r="H30" s="10"/>
      <c r="I30" s="10">
        <v>-89.4341128205128</v>
      </c>
      <c r="J30" s="10">
        <v>6.67857855477855</v>
      </c>
      <c r="K30" s="14">
        <v>0.997435897435898</v>
      </c>
      <c r="L30" s="14">
        <v>0.997435897435898</v>
      </c>
      <c r="M30" s="10">
        <v>7.83223355263158</v>
      </c>
      <c r="N30" s="10">
        <v>8.436</v>
      </c>
      <c r="O30" s="14">
        <v>1</v>
      </c>
      <c r="P30" s="18">
        <v>10</v>
      </c>
      <c r="Q30" s="18">
        <v>10</v>
      </c>
      <c r="R30" s="18">
        <v>0</v>
      </c>
      <c r="S30" s="14">
        <v>0</v>
      </c>
      <c r="T30" s="10">
        <v>4.85985714285714</v>
      </c>
      <c r="U30" s="10">
        <v>5.794</v>
      </c>
      <c r="V30" s="14">
        <v>1</v>
      </c>
      <c r="W30" s="18">
        <v>10</v>
      </c>
      <c r="X30" s="18">
        <v>10</v>
      </c>
      <c r="Y30" s="18">
        <v>0</v>
      </c>
      <c r="Z30" s="14">
        <v>0</v>
      </c>
      <c r="AA30" s="10"/>
      <c r="AB30" s="10"/>
      <c r="AC30" s="14"/>
      <c r="AD30" s="14"/>
      <c r="AE30" s="10"/>
      <c r="AF30" s="10"/>
      <c r="AG30" s="14"/>
      <c r="AH30" s="18"/>
      <c r="AI30" s="18"/>
      <c r="AJ30" s="18"/>
      <c r="AK30" s="14"/>
      <c r="AL30" s="10"/>
      <c r="AM30" s="10"/>
      <c r="AN30" s="14"/>
      <c r="AO30" s="18"/>
      <c r="AP30" s="18"/>
      <c r="AQ30" s="18"/>
      <c r="AR30" s="14"/>
    </row>
    <row r="31" spans="1:44">
      <c r="A31" s="3" t="s">
        <v>44</v>
      </c>
      <c r="B31" s="3" t="s">
        <v>59</v>
      </c>
      <c r="C31" s="4" t="s">
        <v>46</v>
      </c>
      <c r="D31" s="5" t="s">
        <v>53</v>
      </c>
      <c r="E31" s="29">
        <v>2</v>
      </c>
      <c r="F31" s="10"/>
      <c r="G31" s="10">
        <v>0.237</v>
      </c>
      <c r="H31" s="10"/>
      <c r="I31" s="10">
        <v>-89.3355646437995</v>
      </c>
      <c r="J31" s="10">
        <v>13.6512353082274</v>
      </c>
      <c r="K31" s="14">
        <v>0.998800671623891</v>
      </c>
      <c r="L31" s="14">
        <v>0.998800671623891</v>
      </c>
      <c r="M31" s="10">
        <v>8.45711221122112</v>
      </c>
      <c r="N31" s="10">
        <v>9.711</v>
      </c>
      <c r="O31" s="14">
        <v>0.996699669966997</v>
      </c>
      <c r="P31" s="18">
        <v>10</v>
      </c>
      <c r="Q31" s="18">
        <v>10</v>
      </c>
      <c r="R31" s="18">
        <v>0</v>
      </c>
      <c r="S31" s="14">
        <v>0</v>
      </c>
      <c r="T31" s="10">
        <v>4.82817666666667</v>
      </c>
      <c r="U31" s="10">
        <v>5.897</v>
      </c>
      <c r="V31" s="14">
        <v>0.996666666666667</v>
      </c>
      <c r="W31" s="18">
        <v>10</v>
      </c>
      <c r="X31" s="18">
        <v>10</v>
      </c>
      <c r="Y31" s="18">
        <v>0</v>
      </c>
      <c r="Z31" s="14">
        <v>0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</row>
    <row r="32" spans="1:44">
      <c r="A32" s="3" t="s">
        <v>44</v>
      </c>
      <c r="B32" s="7" t="s">
        <v>60</v>
      </c>
      <c r="C32" s="4" t="s">
        <v>49</v>
      </c>
      <c r="D32" s="5" t="s">
        <v>50</v>
      </c>
      <c r="E32" s="29">
        <v>2</v>
      </c>
      <c r="F32" s="10">
        <v>3.814</v>
      </c>
      <c r="G32" s="10">
        <v>0.409</v>
      </c>
      <c r="H32" s="10">
        <v>9.32518337408313</v>
      </c>
      <c r="I32" s="10">
        <v>-89.2810361782372</v>
      </c>
      <c r="J32" s="10">
        <v>1.21845201843833</v>
      </c>
      <c r="K32" s="14">
        <v>0.747031708339154</v>
      </c>
      <c r="L32" s="14">
        <v>0.747031708339154</v>
      </c>
      <c r="M32" s="10">
        <v>5.70974590163934</v>
      </c>
      <c r="N32" s="10">
        <v>9.744</v>
      </c>
      <c r="O32" s="14">
        <v>0.795081967213115</v>
      </c>
      <c r="P32" s="18">
        <v>16</v>
      </c>
      <c r="Q32" s="18">
        <v>16</v>
      </c>
      <c r="R32" s="18">
        <v>0</v>
      </c>
      <c r="S32" s="14">
        <v>0</v>
      </c>
      <c r="T32" s="10">
        <v>4.4214375</v>
      </c>
      <c r="U32" s="10">
        <v>5.769</v>
      </c>
      <c r="V32" s="14">
        <v>0.979166666666667</v>
      </c>
      <c r="W32" s="18">
        <v>16</v>
      </c>
      <c r="X32" s="18">
        <v>16</v>
      </c>
      <c r="Y32" s="18">
        <v>0</v>
      </c>
      <c r="Z32" s="14">
        <v>0</v>
      </c>
      <c r="AA32" s="10">
        <v>-89.04684</v>
      </c>
      <c r="AB32" s="10">
        <v>0.969742222222222</v>
      </c>
      <c r="AC32" s="14">
        <v>0.733333333333333</v>
      </c>
      <c r="AD32" s="14">
        <v>0.733333333333333</v>
      </c>
      <c r="AE32" s="10">
        <v>5.32250666666667</v>
      </c>
      <c r="AF32" s="10">
        <v>9.56</v>
      </c>
      <c r="AG32" s="14">
        <v>0.8</v>
      </c>
      <c r="AH32" s="18">
        <v>16</v>
      </c>
      <c r="AI32" s="18">
        <v>16</v>
      </c>
      <c r="AJ32" s="18">
        <v>0</v>
      </c>
      <c r="AK32" s="14">
        <v>0</v>
      </c>
      <c r="AL32" s="10">
        <v>4.32085074626866</v>
      </c>
      <c r="AM32" s="10">
        <v>5.225</v>
      </c>
      <c r="AN32" s="14">
        <v>0.970149253731343</v>
      </c>
      <c r="AO32" s="18">
        <v>16</v>
      </c>
      <c r="AP32" s="18">
        <v>16</v>
      </c>
      <c r="AQ32" s="18">
        <v>0</v>
      </c>
      <c r="AR32" s="14">
        <v>0</v>
      </c>
    </row>
    <row r="33" spans="1:44">
      <c r="A33" s="3" t="s">
        <v>51</v>
      </c>
      <c r="B33" s="5" t="s">
        <v>63</v>
      </c>
      <c r="C33" s="5" t="s">
        <v>46</v>
      </c>
      <c r="D33" s="5" t="s">
        <v>47</v>
      </c>
      <c r="E33" s="31">
        <v>1</v>
      </c>
      <c r="F33" s="11" t="s">
        <v>54</v>
      </c>
      <c r="G33" s="11">
        <v>0.384169444444444</v>
      </c>
      <c r="H33" s="11" t="s">
        <v>54</v>
      </c>
      <c r="I33" s="11">
        <v>-88.7966501231824</v>
      </c>
      <c r="J33" s="11">
        <v>6.54809798041031</v>
      </c>
      <c r="K33" s="15">
        <v>1</v>
      </c>
      <c r="L33" s="15">
        <v>1</v>
      </c>
      <c r="M33" s="11">
        <v>8.80692297666667</v>
      </c>
      <c r="N33" s="11">
        <v>9.78222</v>
      </c>
      <c r="O33" s="15">
        <v>1</v>
      </c>
      <c r="P33" s="19">
        <v>10</v>
      </c>
      <c r="Q33" s="19">
        <v>10</v>
      </c>
      <c r="R33" s="19">
        <v>0</v>
      </c>
      <c r="S33" s="15">
        <v>0</v>
      </c>
      <c r="T33" s="11">
        <v>3.81649730333333</v>
      </c>
      <c r="U33" s="11">
        <v>4.84837</v>
      </c>
      <c r="V33" s="15">
        <v>1</v>
      </c>
      <c r="W33" s="19">
        <v>10</v>
      </c>
      <c r="X33" s="19">
        <v>10</v>
      </c>
      <c r="Y33" s="19">
        <v>0</v>
      </c>
      <c r="Z33" s="15">
        <v>0</v>
      </c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</row>
    <row r="34" spans="1:44">
      <c r="A34" s="3" t="s">
        <v>51</v>
      </c>
      <c r="B34" s="6" t="s">
        <v>52</v>
      </c>
      <c r="C34" s="6" t="s">
        <v>46</v>
      </c>
      <c r="D34" s="6" t="s">
        <v>53</v>
      </c>
      <c r="E34" s="30">
        <v>1</v>
      </c>
      <c r="F34" s="11" t="s">
        <v>54</v>
      </c>
      <c r="G34" s="11">
        <v>0.441777777777778</v>
      </c>
      <c r="H34" s="11" t="s">
        <v>54</v>
      </c>
      <c r="I34" s="11">
        <v>-88.4574275937756</v>
      </c>
      <c r="J34" s="11">
        <v>13.498984579908</v>
      </c>
      <c r="K34" s="15">
        <v>1</v>
      </c>
      <c r="L34" s="15">
        <v>1</v>
      </c>
      <c r="M34" s="11">
        <v>6.37697784333333</v>
      </c>
      <c r="N34" s="11">
        <v>7.26403</v>
      </c>
      <c r="O34" s="15">
        <v>0.983333333333333</v>
      </c>
      <c r="P34" s="19">
        <v>10</v>
      </c>
      <c r="Q34" s="19">
        <v>10</v>
      </c>
      <c r="R34" s="19">
        <v>0</v>
      </c>
      <c r="S34" s="15">
        <v>0</v>
      </c>
      <c r="T34" s="11">
        <v>0.736722378737541</v>
      </c>
      <c r="U34" s="11">
        <v>1.27745</v>
      </c>
      <c r="V34" s="15">
        <v>0.651162790697674</v>
      </c>
      <c r="W34" s="19">
        <v>10</v>
      </c>
      <c r="X34" s="19">
        <v>10</v>
      </c>
      <c r="Y34" s="19">
        <v>0</v>
      </c>
      <c r="Z34" s="15">
        <v>0</v>
      </c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</row>
    <row r="35" spans="1:44">
      <c r="A35" s="3" t="s">
        <v>51</v>
      </c>
      <c r="B35" s="4" t="s">
        <v>62</v>
      </c>
      <c r="C35" s="4" t="s">
        <v>49</v>
      </c>
      <c r="D35" s="4" t="s">
        <v>50</v>
      </c>
      <c r="E35" s="30">
        <v>3</v>
      </c>
      <c r="F35" s="11">
        <v>2.17412685996294</v>
      </c>
      <c r="G35" s="11">
        <v>0</v>
      </c>
      <c r="H35" s="11" t="s">
        <v>54</v>
      </c>
      <c r="I35" s="11">
        <v>-88.161273315308</v>
      </c>
      <c r="J35" s="11">
        <v>4.33959919328256</v>
      </c>
      <c r="K35" s="15">
        <v>0.93306747143781</v>
      </c>
      <c r="L35" s="15">
        <v>0.937270963569735</v>
      </c>
      <c r="M35" s="11">
        <v>7.06836240609137</v>
      </c>
      <c r="N35" s="11">
        <v>8.74752</v>
      </c>
      <c r="O35" s="15">
        <v>0.928934010152284</v>
      </c>
      <c r="P35" s="19">
        <v>14</v>
      </c>
      <c r="Q35" s="19">
        <v>14</v>
      </c>
      <c r="R35" s="19">
        <v>0</v>
      </c>
      <c r="S35" s="15">
        <v>0</v>
      </c>
      <c r="T35" s="11">
        <v>4.21598298809524</v>
      </c>
      <c r="U35" s="11">
        <v>5.43457</v>
      </c>
      <c r="V35" s="15">
        <v>0.997619047619048</v>
      </c>
      <c r="W35" s="19">
        <v>14</v>
      </c>
      <c r="X35" s="19">
        <v>14</v>
      </c>
      <c r="Y35" s="19">
        <v>0</v>
      </c>
      <c r="Z35" s="15">
        <v>0</v>
      </c>
      <c r="AA35" s="11">
        <v>-87.9158898058526</v>
      </c>
      <c r="AB35" s="11">
        <v>4.20593880928152</v>
      </c>
      <c r="AC35" s="15">
        <v>0.978723404255319</v>
      </c>
      <c r="AD35" s="15">
        <v>0.978723404255319</v>
      </c>
      <c r="AE35" s="11">
        <v>6.79026156352026</v>
      </c>
      <c r="AF35" s="11">
        <v>8.5156735</v>
      </c>
      <c r="AG35" s="15">
        <v>0.941176470588235</v>
      </c>
      <c r="AH35" s="19">
        <v>14</v>
      </c>
      <c r="AI35" s="19">
        <v>14</v>
      </c>
      <c r="AJ35" s="19">
        <v>0</v>
      </c>
      <c r="AK35" s="15">
        <v>0</v>
      </c>
      <c r="AL35" s="11">
        <v>4.33106789329813</v>
      </c>
      <c r="AM35" s="11">
        <v>4.969939</v>
      </c>
      <c r="AN35" s="15">
        <v>1</v>
      </c>
      <c r="AO35" s="19">
        <v>14</v>
      </c>
      <c r="AP35" s="19">
        <v>14</v>
      </c>
      <c r="AQ35" s="19">
        <v>0</v>
      </c>
      <c r="AR35" s="15">
        <v>0</v>
      </c>
    </row>
    <row r="36" spans="1:44">
      <c r="A36" s="3" t="s">
        <v>51</v>
      </c>
      <c r="B36" s="6" t="s">
        <v>52</v>
      </c>
      <c r="C36" s="6" t="s">
        <v>46</v>
      </c>
      <c r="D36" s="6" t="s">
        <v>57</v>
      </c>
      <c r="E36" s="30">
        <v>2</v>
      </c>
      <c r="F36" s="11" t="s">
        <v>54</v>
      </c>
      <c r="G36" s="11">
        <v>0.435916666666667</v>
      </c>
      <c r="H36" s="11" t="s">
        <v>54</v>
      </c>
      <c r="I36" s="11">
        <v>-88.1303796904846</v>
      </c>
      <c r="J36" s="11">
        <v>1.59493599405762</v>
      </c>
      <c r="K36" s="15">
        <v>0.792604912998977</v>
      </c>
      <c r="L36" s="15">
        <v>0.792604912998977</v>
      </c>
      <c r="M36" s="11">
        <v>6.01749229333333</v>
      </c>
      <c r="N36" s="11">
        <v>7.96661</v>
      </c>
      <c r="O36" s="15">
        <v>0.95</v>
      </c>
      <c r="P36" s="19">
        <v>10</v>
      </c>
      <c r="Q36" s="19">
        <v>10</v>
      </c>
      <c r="R36" s="19">
        <v>0</v>
      </c>
      <c r="S36" s="15">
        <v>0</v>
      </c>
      <c r="T36" s="11">
        <v>4.04706324666667</v>
      </c>
      <c r="U36" s="11">
        <v>5.76577</v>
      </c>
      <c r="V36" s="15">
        <v>0.97</v>
      </c>
      <c r="W36" s="19">
        <v>10</v>
      </c>
      <c r="X36" s="19">
        <v>10</v>
      </c>
      <c r="Y36" s="19">
        <v>0</v>
      </c>
      <c r="Z36" s="15">
        <v>0</v>
      </c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</row>
    <row r="37" spans="1:44">
      <c r="A37" s="3" t="s">
        <v>51</v>
      </c>
      <c r="B37" s="4" t="s">
        <v>62</v>
      </c>
      <c r="C37" s="4" t="s">
        <v>46</v>
      </c>
      <c r="D37" s="4" t="s">
        <v>53</v>
      </c>
      <c r="E37" s="31">
        <v>2</v>
      </c>
      <c r="F37" s="11"/>
      <c r="G37" s="11">
        <v>0.381588888888889</v>
      </c>
      <c r="H37" s="11"/>
      <c r="I37" s="11">
        <v>-88.125363220001</v>
      </c>
      <c r="J37" s="11">
        <v>4.12576156802787</v>
      </c>
      <c r="K37" s="15">
        <v>0.999561979851073</v>
      </c>
      <c r="L37" s="15">
        <v>0.999561979851073</v>
      </c>
      <c r="M37" s="11">
        <v>8.10728833666667</v>
      </c>
      <c r="N37" s="11">
        <v>9.8627</v>
      </c>
      <c r="O37" s="15">
        <v>1</v>
      </c>
      <c r="P37" s="19">
        <v>10</v>
      </c>
      <c r="Q37" s="19">
        <v>10</v>
      </c>
      <c r="R37" s="19">
        <v>0</v>
      </c>
      <c r="S37" s="15">
        <v>0</v>
      </c>
      <c r="T37" s="11">
        <v>4.73292467666667</v>
      </c>
      <c r="U37" s="11">
        <v>5.13026</v>
      </c>
      <c r="V37" s="15">
        <v>1</v>
      </c>
      <c r="W37" s="19">
        <v>10</v>
      </c>
      <c r="X37" s="19">
        <v>10</v>
      </c>
      <c r="Y37" s="19">
        <v>0</v>
      </c>
      <c r="Z37" s="15">
        <v>0</v>
      </c>
      <c r="AA37" s="11"/>
      <c r="AB37" s="11"/>
      <c r="AC37" s="15"/>
      <c r="AD37" s="15"/>
      <c r="AE37" s="11"/>
      <c r="AF37" s="11"/>
      <c r="AG37" s="15"/>
      <c r="AH37" s="19"/>
      <c r="AI37" s="19"/>
      <c r="AJ37" s="19"/>
      <c r="AK37" s="15"/>
      <c r="AL37" s="11"/>
      <c r="AM37" s="11"/>
      <c r="AN37" s="15"/>
      <c r="AO37" s="19"/>
      <c r="AP37" s="19"/>
      <c r="AQ37" s="19"/>
      <c r="AR37" s="15"/>
    </row>
    <row r="38" spans="1:44">
      <c r="A38" s="3" t="s">
        <v>44</v>
      </c>
      <c r="B38" s="3" t="s">
        <v>56</v>
      </c>
      <c r="C38" s="4" t="s">
        <v>49</v>
      </c>
      <c r="D38" s="5" t="s">
        <v>61</v>
      </c>
      <c r="E38" s="29">
        <v>3</v>
      </c>
      <c r="F38" s="10">
        <v>6.101</v>
      </c>
      <c r="G38" s="10">
        <v>0.576</v>
      </c>
      <c r="H38" s="10">
        <v>10.5920138888889</v>
      </c>
      <c r="I38" s="10">
        <v>-87.9040009940358</v>
      </c>
      <c r="J38" s="10">
        <v>4.81358876739563</v>
      </c>
      <c r="K38" s="14">
        <v>0.858548707753479</v>
      </c>
      <c r="L38" s="14">
        <v>0.865407554671968</v>
      </c>
      <c r="M38" s="10">
        <v>7.52575</v>
      </c>
      <c r="N38" s="10">
        <v>9.789</v>
      </c>
      <c r="O38" s="14">
        <v>0.937125748502994</v>
      </c>
      <c r="P38" s="18">
        <v>22</v>
      </c>
      <c r="Q38" s="18">
        <v>22</v>
      </c>
      <c r="R38" s="18">
        <v>0</v>
      </c>
      <c r="S38" s="14">
        <v>0</v>
      </c>
      <c r="T38" s="10">
        <v>3.73673793103448</v>
      </c>
      <c r="U38" s="10">
        <v>5.706</v>
      </c>
      <c r="V38" s="14">
        <v>0.856551724137931</v>
      </c>
      <c r="W38" s="18">
        <v>24</v>
      </c>
      <c r="X38" s="18">
        <v>24</v>
      </c>
      <c r="Y38" s="18">
        <v>0</v>
      </c>
      <c r="Z38" s="14">
        <v>0</v>
      </c>
      <c r="AA38" s="10">
        <v>-89.0253966942149</v>
      </c>
      <c r="AB38" s="10">
        <v>5.19866666666667</v>
      </c>
      <c r="AC38" s="14">
        <v>0.881542699724518</v>
      </c>
      <c r="AD38" s="14">
        <v>0.887052341597796</v>
      </c>
      <c r="AE38" s="10">
        <v>7.45457522123894</v>
      </c>
      <c r="AF38" s="10">
        <v>9.681</v>
      </c>
      <c r="AG38" s="14">
        <v>0.929203539823009</v>
      </c>
      <c r="AH38" s="18">
        <v>22</v>
      </c>
      <c r="AI38" s="18">
        <v>22</v>
      </c>
      <c r="AJ38" s="18">
        <v>0</v>
      </c>
      <c r="AK38" s="14">
        <v>0</v>
      </c>
      <c r="AL38" s="10">
        <v>3.67750387596899</v>
      </c>
      <c r="AM38" s="10">
        <v>5.089</v>
      </c>
      <c r="AN38" s="14">
        <v>0.930232558139535</v>
      </c>
      <c r="AO38" s="18">
        <v>24</v>
      </c>
      <c r="AP38" s="18">
        <v>24</v>
      </c>
      <c r="AQ38" s="18">
        <v>0</v>
      </c>
      <c r="AR38" s="14">
        <v>0</v>
      </c>
    </row>
    <row r="39" spans="1:44">
      <c r="A39" s="3" t="s">
        <v>51</v>
      </c>
      <c r="B39" s="4" t="s">
        <v>62</v>
      </c>
      <c r="C39" s="4" t="s">
        <v>46</v>
      </c>
      <c r="D39" s="4" t="s">
        <v>57</v>
      </c>
      <c r="E39" s="31">
        <v>3</v>
      </c>
      <c r="F39" s="11" t="s">
        <v>54</v>
      </c>
      <c r="G39" s="11">
        <v>0.375002777777778</v>
      </c>
      <c r="H39" s="11" t="s">
        <v>54</v>
      </c>
      <c r="I39" s="11">
        <v>-87.8773031309633</v>
      </c>
      <c r="J39" s="11">
        <v>11.0296915538012</v>
      </c>
      <c r="K39" s="15">
        <v>1</v>
      </c>
      <c r="L39" s="15">
        <v>1</v>
      </c>
      <c r="M39" s="11">
        <v>9.48210426666667</v>
      </c>
      <c r="N39" s="11">
        <v>11.3523</v>
      </c>
      <c r="O39" s="15">
        <v>1</v>
      </c>
      <c r="P39" s="19">
        <v>10</v>
      </c>
      <c r="Q39" s="19">
        <v>10</v>
      </c>
      <c r="R39" s="19">
        <v>0</v>
      </c>
      <c r="S39" s="15">
        <v>0</v>
      </c>
      <c r="T39" s="11">
        <v>4.75313959666667</v>
      </c>
      <c r="U39" s="11">
        <v>6.08</v>
      </c>
      <c r="V39" s="15">
        <v>0.996666666666667</v>
      </c>
      <c r="W39" s="19">
        <v>10</v>
      </c>
      <c r="X39" s="19">
        <v>10</v>
      </c>
      <c r="Y39" s="19">
        <v>0</v>
      </c>
      <c r="Z39" s="15">
        <v>0</v>
      </c>
      <c r="AA39" s="11"/>
      <c r="AB39" s="11"/>
      <c r="AC39" s="15"/>
      <c r="AD39" s="15"/>
      <c r="AE39" s="11"/>
      <c r="AF39" s="11"/>
      <c r="AG39" s="15"/>
      <c r="AH39" s="19"/>
      <c r="AI39" s="19"/>
      <c r="AJ39" s="19"/>
      <c r="AK39" s="15"/>
      <c r="AL39" s="11"/>
      <c r="AM39" s="11"/>
      <c r="AN39" s="15"/>
      <c r="AO39" s="19"/>
      <c r="AP39" s="19"/>
      <c r="AQ39" s="19"/>
      <c r="AR39" s="15"/>
    </row>
    <row r="40" spans="1:44">
      <c r="A40" s="3" t="s">
        <v>51</v>
      </c>
      <c r="B40" s="5" t="s">
        <v>55</v>
      </c>
      <c r="C40" s="5" t="s">
        <v>49</v>
      </c>
      <c r="D40" s="5" t="s">
        <v>50</v>
      </c>
      <c r="E40" s="31">
        <v>1</v>
      </c>
      <c r="F40" s="11">
        <v>2.14353608834744</v>
      </c>
      <c r="G40" s="11">
        <v>0.539680555555555</v>
      </c>
      <c r="H40" s="11">
        <v>3.97186088377938</v>
      </c>
      <c r="I40" s="11">
        <v>-87.8348434495581</v>
      </c>
      <c r="J40" s="11">
        <v>6.00556282307755</v>
      </c>
      <c r="K40" s="15">
        <v>0.892140641158221</v>
      </c>
      <c r="L40" s="15">
        <v>0.893795243019648</v>
      </c>
      <c r="M40" s="11">
        <v>7.12793543571429</v>
      </c>
      <c r="N40" s="11">
        <v>8.76009</v>
      </c>
      <c r="O40" s="15">
        <v>0.976190476190476</v>
      </c>
      <c r="P40" s="19">
        <v>14</v>
      </c>
      <c r="Q40" s="19">
        <v>14</v>
      </c>
      <c r="R40" s="19">
        <v>0</v>
      </c>
      <c r="S40" s="15">
        <v>0</v>
      </c>
      <c r="T40" s="11">
        <v>3.10227758666667</v>
      </c>
      <c r="U40" s="11">
        <v>4.23267</v>
      </c>
      <c r="V40" s="15">
        <v>0.991111111111111</v>
      </c>
      <c r="W40" s="19">
        <v>15</v>
      </c>
      <c r="X40" s="19">
        <v>15</v>
      </c>
      <c r="Y40" s="19">
        <v>0</v>
      </c>
      <c r="Z40" s="15">
        <v>0</v>
      </c>
      <c r="AA40" s="11">
        <v>-88.4847391078126</v>
      </c>
      <c r="AB40" s="11">
        <v>6.20290444980325</v>
      </c>
      <c r="AC40" s="15">
        <v>0.922222222222222</v>
      </c>
      <c r="AD40" s="15">
        <v>0.922222222222222</v>
      </c>
      <c r="AE40" s="11">
        <v>7.16146095403474</v>
      </c>
      <c r="AF40" s="11">
        <v>8.51845</v>
      </c>
      <c r="AG40" s="15">
        <v>1</v>
      </c>
      <c r="AH40" s="19">
        <v>14</v>
      </c>
      <c r="AI40" s="19">
        <v>14</v>
      </c>
      <c r="AJ40" s="19">
        <v>0</v>
      </c>
      <c r="AK40" s="15">
        <v>0</v>
      </c>
      <c r="AL40" s="11">
        <v>3.07483344862808</v>
      </c>
      <c r="AM40" s="11">
        <v>4.154196</v>
      </c>
      <c r="AN40" s="15">
        <v>1</v>
      </c>
      <c r="AO40" s="19">
        <v>15</v>
      </c>
      <c r="AP40" s="19">
        <v>15</v>
      </c>
      <c r="AQ40" s="19">
        <v>0</v>
      </c>
      <c r="AR40" s="15">
        <v>0</v>
      </c>
    </row>
    <row r="41" spans="1:44">
      <c r="A41" s="3" t="s">
        <v>51</v>
      </c>
      <c r="B41" s="4" t="s">
        <v>62</v>
      </c>
      <c r="C41" s="4" t="s">
        <v>49</v>
      </c>
      <c r="D41" s="4" t="s">
        <v>61</v>
      </c>
      <c r="E41" s="30">
        <v>2</v>
      </c>
      <c r="F41" s="11">
        <v>2.1691858626008</v>
      </c>
      <c r="G41" s="11">
        <v>0.504805555555556</v>
      </c>
      <c r="H41" s="11">
        <v>4.29707208791223</v>
      </c>
      <c r="I41" s="11">
        <v>-87.760752106889</v>
      </c>
      <c r="J41" s="11">
        <v>11.9033893357004</v>
      </c>
      <c r="K41" s="15">
        <v>0.98513543272407</v>
      </c>
      <c r="L41" s="15">
        <v>0.993063201937899</v>
      </c>
      <c r="M41" s="11">
        <v>8.23057488516746</v>
      </c>
      <c r="N41" s="11">
        <v>9.94485</v>
      </c>
      <c r="O41" s="15">
        <v>0.997607655502392</v>
      </c>
      <c r="P41" s="19">
        <v>14</v>
      </c>
      <c r="Q41" s="19">
        <v>14</v>
      </c>
      <c r="R41" s="19">
        <v>0</v>
      </c>
      <c r="S41" s="15">
        <v>0</v>
      </c>
      <c r="T41" s="11">
        <v>4.37930034615385</v>
      </c>
      <c r="U41" s="11">
        <v>5.12</v>
      </c>
      <c r="V41" s="15">
        <v>1</v>
      </c>
      <c r="W41" s="19">
        <v>13</v>
      </c>
      <c r="X41" s="19">
        <v>13</v>
      </c>
      <c r="Y41" s="19">
        <v>0</v>
      </c>
      <c r="Z41" s="15">
        <v>0</v>
      </c>
      <c r="AA41" s="11">
        <v>-87.0898721709586</v>
      </c>
      <c r="AB41" s="11">
        <v>12.2157407742518</v>
      </c>
      <c r="AC41" s="15">
        <v>1</v>
      </c>
      <c r="AD41" s="15">
        <v>1</v>
      </c>
      <c r="AE41" s="11">
        <v>8.40643629354275</v>
      </c>
      <c r="AF41" s="11">
        <v>9.51294164705882</v>
      </c>
      <c r="AG41" s="15">
        <v>1</v>
      </c>
      <c r="AH41" s="19">
        <v>14</v>
      </c>
      <c r="AI41" s="19">
        <v>14</v>
      </c>
      <c r="AJ41" s="19">
        <v>0</v>
      </c>
      <c r="AK41" s="15">
        <v>0</v>
      </c>
      <c r="AL41" s="11">
        <v>4.4569259435393</v>
      </c>
      <c r="AM41" s="11">
        <v>4.91528216666667</v>
      </c>
      <c r="AN41" s="15">
        <v>1</v>
      </c>
      <c r="AO41" s="19">
        <v>13</v>
      </c>
      <c r="AP41" s="19">
        <v>13</v>
      </c>
      <c r="AQ41" s="19">
        <v>0</v>
      </c>
      <c r="AR41" s="15">
        <v>0</v>
      </c>
    </row>
    <row r="42" spans="1:44">
      <c r="A42" s="3" t="s">
        <v>44</v>
      </c>
      <c r="B42" s="3" t="s">
        <v>45</v>
      </c>
      <c r="C42" s="4" t="s">
        <v>46</v>
      </c>
      <c r="D42" s="5" t="s">
        <v>57</v>
      </c>
      <c r="E42" s="29">
        <v>2</v>
      </c>
      <c r="F42" s="10"/>
      <c r="G42" s="10">
        <v>0.24</v>
      </c>
      <c r="H42" s="10"/>
      <c r="I42" s="10">
        <v>-87.6395998138669</v>
      </c>
      <c r="J42" s="10">
        <v>9.58245649139135</v>
      </c>
      <c r="K42" s="14">
        <v>0.988832014890647</v>
      </c>
      <c r="L42" s="14">
        <v>0.988832014890647</v>
      </c>
      <c r="M42" s="10">
        <v>7.50473202614379</v>
      </c>
      <c r="N42" s="10">
        <v>8.133</v>
      </c>
      <c r="O42" s="14">
        <v>1</v>
      </c>
      <c r="P42" s="18">
        <v>10</v>
      </c>
      <c r="Q42" s="18">
        <v>10</v>
      </c>
      <c r="R42" s="18">
        <v>0</v>
      </c>
      <c r="S42" s="14">
        <v>0</v>
      </c>
      <c r="T42" s="10">
        <v>4.52844816053512</v>
      </c>
      <c r="U42" s="10">
        <v>5.654</v>
      </c>
      <c r="V42" s="14">
        <v>1</v>
      </c>
      <c r="W42" s="18">
        <v>10</v>
      </c>
      <c r="X42" s="18">
        <v>10</v>
      </c>
      <c r="Y42" s="18">
        <v>0</v>
      </c>
      <c r="Z42" s="14">
        <v>0</v>
      </c>
      <c r="AA42" s="10"/>
      <c r="AB42" s="10"/>
      <c r="AC42" s="14"/>
      <c r="AD42" s="14"/>
      <c r="AE42" s="10"/>
      <c r="AF42" s="10"/>
      <c r="AG42" s="14"/>
      <c r="AH42" s="18"/>
      <c r="AI42" s="18"/>
      <c r="AJ42" s="18"/>
      <c r="AK42" s="14"/>
      <c r="AL42" s="10"/>
      <c r="AM42" s="10"/>
      <c r="AN42" s="14"/>
      <c r="AO42" s="18"/>
      <c r="AP42" s="18"/>
      <c r="AQ42" s="18"/>
      <c r="AR42" s="14"/>
    </row>
    <row r="43" spans="1:44">
      <c r="A43" s="3" t="s">
        <v>51</v>
      </c>
      <c r="B43" s="6" t="s">
        <v>55</v>
      </c>
      <c r="C43" s="6" t="s">
        <v>49</v>
      </c>
      <c r="D43" s="6" t="s">
        <v>61</v>
      </c>
      <c r="E43" s="31">
        <v>2</v>
      </c>
      <c r="F43" s="11">
        <v>1.66221134400368</v>
      </c>
      <c r="G43" s="11">
        <v>0.348975</v>
      </c>
      <c r="H43" s="11">
        <v>4.76312441866517</v>
      </c>
      <c r="I43" s="11">
        <v>-87.5378459950571</v>
      </c>
      <c r="J43" s="11">
        <v>14.4504550818747</v>
      </c>
      <c r="K43" s="15">
        <v>0.952457179446134</v>
      </c>
      <c r="L43" s="15">
        <v>0.996798463262366</v>
      </c>
      <c r="M43" s="11">
        <v>9.10939274860335</v>
      </c>
      <c r="N43" s="11">
        <v>10.431</v>
      </c>
      <c r="O43" s="15">
        <v>1</v>
      </c>
      <c r="P43" s="19">
        <v>9</v>
      </c>
      <c r="Q43" s="19">
        <v>6</v>
      </c>
      <c r="R43" s="19">
        <v>0</v>
      </c>
      <c r="S43" s="15">
        <v>0</v>
      </c>
      <c r="T43" s="11">
        <v>4.46830563809524</v>
      </c>
      <c r="U43" s="11">
        <v>5.13541</v>
      </c>
      <c r="V43" s="15">
        <v>1</v>
      </c>
      <c r="W43" s="19">
        <v>9</v>
      </c>
      <c r="X43" s="19">
        <v>7</v>
      </c>
      <c r="Y43" s="19">
        <v>2</v>
      </c>
      <c r="Z43" s="15">
        <v>0.285714285714286</v>
      </c>
      <c r="AA43" s="11">
        <v>-87.8713458594078</v>
      </c>
      <c r="AB43" s="11">
        <v>14.3974534479961</v>
      </c>
      <c r="AC43" s="15">
        <v>0.974358974358974</v>
      </c>
      <c r="AD43" s="15">
        <v>1</v>
      </c>
      <c r="AE43" s="11">
        <v>9.05852157689169</v>
      </c>
      <c r="AF43" s="11">
        <v>10.0473575</v>
      </c>
      <c r="AG43" s="15">
        <v>1</v>
      </c>
      <c r="AH43" s="19">
        <v>9</v>
      </c>
      <c r="AI43" s="19">
        <v>6</v>
      </c>
      <c r="AJ43" s="19">
        <v>0</v>
      </c>
      <c r="AK43" s="15">
        <v>0</v>
      </c>
      <c r="AL43" s="11">
        <v>4.41369993602395</v>
      </c>
      <c r="AM43" s="11">
        <v>5.0195319375</v>
      </c>
      <c r="AN43" s="15">
        <v>1</v>
      </c>
      <c r="AO43" s="19">
        <v>9</v>
      </c>
      <c r="AP43" s="19">
        <v>7</v>
      </c>
      <c r="AQ43" s="19">
        <v>2</v>
      </c>
      <c r="AR43" s="15">
        <v>0.285714285714286</v>
      </c>
    </row>
    <row r="44" spans="1:44">
      <c r="A44" s="3" t="s">
        <v>44</v>
      </c>
      <c r="B44" s="7" t="s">
        <v>60</v>
      </c>
      <c r="C44" s="4" t="s">
        <v>49</v>
      </c>
      <c r="D44" s="5" t="s">
        <v>50</v>
      </c>
      <c r="E44" s="29">
        <v>3</v>
      </c>
      <c r="F44" s="10">
        <v>2.445</v>
      </c>
      <c r="G44" s="10">
        <v>0.277</v>
      </c>
      <c r="H44" s="10">
        <v>8.82671480144404</v>
      </c>
      <c r="I44" s="10">
        <v>-87.4324845173042</v>
      </c>
      <c r="J44" s="10">
        <v>2.10541408621736</v>
      </c>
      <c r="K44" s="14">
        <v>0.813195709370573</v>
      </c>
      <c r="L44" s="14">
        <v>0.813195709370573</v>
      </c>
      <c r="M44" s="10">
        <v>7.83360579710145</v>
      </c>
      <c r="N44" s="10">
        <v>9.661</v>
      </c>
      <c r="O44" s="14">
        <v>0.979710144927536</v>
      </c>
      <c r="P44" s="18">
        <v>12</v>
      </c>
      <c r="Q44" s="18">
        <v>11</v>
      </c>
      <c r="R44" s="18">
        <v>0</v>
      </c>
      <c r="S44" s="14">
        <v>0</v>
      </c>
      <c r="T44" s="10">
        <v>4.09739226519337</v>
      </c>
      <c r="U44" s="10">
        <v>5.932</v>
      </c>
      <c r="V44" s="14">
        <v>0.919889502762431</v>
      </c>
      <c r="W44" s="18">
        <v>12</v>
      </c>
      <c r="X44" s="18">
        <v>12</v>
      </c>
      <c r="Y44" s="18">
        <v>0</v>
      </c>
      <c r="Z44" s="14">
        <v>0</v>
      </c>
      <c r="AA44" s="10">
        <v>-89.8708104575163</v>
      </c>
      <c r="AB44" s="10">
        <v>0.582137254901961</v>
      </c>
      <c r="AC44" s="14">
        <v>0.810457516339869</v>
      </c>
      <c r="AD44" s="14">
        <v>0.810457516339869</v>
      </c>
      <c r="AE44" s="10">
        <v>7.36823076923077</v>
      </c>
      <c r="AF44" s="10">
        <v>9.371</v>
      </c>
      <c r="AG44" s="14">
        <v>1</v>
      </c>
      <c r="AH44" s="18">
        <v>12</v>
      </c>
      <c r="AI44" s="18">
        <v>11</v>
      </c>
      <c r="AJ44" s="18">
        <v>0</v>
      </c>
      <c r="AK44" s="14">
        <v>0</v>
      </c>
      <c r="AL44" s="10">
        <v>3.7845593220339</v>
      </c>
      <c r="AM44" s="10">
        <v>5.367</v>
      </c>
      <c r="AN44" s="14">
        <v>0.932203389830508</v>
      </c>
      <c r="AO44" s="18">
        <v>12</v>
      </c>
      <c r="AP44" s="18">
        <v>12</v>
      </c>
      <c r="AQ44" s="18">
        <v>0</v>
      </c>
      <c r="AR44" s="14">
        <v>0</v>
      </c>
    </row>
    <row r="45" spans="1:44">
      <c r="A45" s="3" t="s">
        <v>51</v>
      </c>
      <c r="B45" s="5" t="s">
        <v>55</v>
      </c>
      <c r="C45" s="5" t="s">
        <v>46</v>
      </c>
      <c r="D45" s="5" t="s">
        <v>53</v>
      </c>
      <c r="E45" s="31">
        <v>1</v>
      </c>
      <c r="F45" s="11" t="s">
        <v>54</v>
      </c>
      <c r="G45" s="11">
        <v>0.377886111111111</v>
      </c>
      <c r="H45" s="11" t="s">
        <v>54</v>
      </c>
      <c r="I45" s="11">
        <v>-87.2707697015298</v>
      </c>
      <c r="J45" s="11">
        <v>0.555528406759053</v>
      </c>
      <c r="K45" s="15">
        <v>0.959839952578542</v>
      </c>
      <c r="L45" s="15">
        <v>0.959839952578542</v>
      </c>
      <c r="M45" s="11">
        <v>6.5252991</v>
      </c>
      <c r="N45" s="11">
        <v>7.9006</v>
      </c>
      <c r="O45" s="15">
        <v>0.99</v>
      </c>
      <c r="P45" s="19">
        <v>10</v>
      </c>
      <c r="Q45" s="19">
        <v>10</v>
      </c>
      <c r="R45" s="19">
        <v>0</v>
      </c>
      <c r="S45" s="15">
        <v>0</v>
      </c>
      <c r="T45" s="11">
        <v>2.83074655666667</v>
      </c>
      <c r="U45" s="11">
        <v>3.72084</v>
      </c>
      <c r="V45" s="15">
        <v>0.996666666666667</v>
      </c>
      <c r="W45" s="19">
        <v>10</v>
      </c>
      <c r="X45" s="19">
        <v>10</v>
      </c>
      <c r="Y45" s="19">
        <v>0</v>
      </c>
      <c r="Z45" s="15">
        <v>0</v>
      </c>
      <c r="AA45" s="11"/>
      <c r="AB45" s="11"/>
      <c r="AC45" s="15"/>
      <c r="AD45" s="15"/>
      <c r="AE45" s="11"/>
      <c r="AF45" s="11"/>
      <c r="AG45" s="15"/>
      <c r="AH45" s="19"/>
      <c r="AI45" s="19"/>
      <c r="AJ45" s="19"/>
      <c r="AK45" s="15"/>
      <c r="AL45" s="11"/>
      <c r="AM45" s="11"/>
      <c r="AN45" s="15"/>
      <c r="AO45" s="19"/>
      <c r="AP45" s="19"/>
      <c r="AQ45" s="19"/>
      <c r="AR45" s="15"/>
    </row>
    <row r="46" spans="1:44">
      <c r="A46" s="3" t="s">
        <v>51</v>
      </c>
      <c r="B46" s="5" t="s">
        <v>55</v>
      </c>
      <c r="C46" s="5" t="s">
        <v>46</v>
      </c>
      <c r="D46" s="5" t="s">
        <v>53</v>
      </c>
      <c r="E46" s="31">
        <v>1</v>
      </c>
      <c r="F46" s="11" t="s">
        <v>54</v>
      </c>
      <c r="G46" s="11">
        <v>0.384916666666667</v>
      </c>
      <c r="H46" s="11" t="s">
        <v>54</v>
      </c>
      <c r="I46" s="11">
        <v>-87.0556168549301</v>
      </c>
      <c r="J46" s="11">
        <v>3.08833836479887</v>
      </c>
      <c r="K46" s="15">
        <v>0.974340388518411</v>
      </c>
      <c r="L46" s="15">
        <v>0.993476369962308</v>
      </c>
      <c r="M46" s="11">
        <v>6.75570572666667</v>
      </c>
      <c r="N46" s="11">
        <v>8.63328</v>
      </c>
      <c r="O46" s="15">
        <v>0.986666666666667</v>
      </c>
      <c r="P46" s="19">
        <v>10</v>
      </c>
      <c r="Q46" s="19">
        <v>10</v>
      </c>
      <c r="R46" s="19">
        <v>0</v>
      </c>
      <c r="S46" s="15">
        <v>0</v>
      </c>
      <c r="T46" s="11">
        <v>3.08441380333333</v>
      </c>
      <c r="U46" s="11">
        <v>4.49799</v>
      </c>
      <c r="V46" s="15">
        <v>0.916666666666667</v>
      </c>
      <c r="W46" s="19">
        <v>10</v>
      </c>
      <c r="X46" s="19">
        <v>10</v>
      </c>
      <c r="Y46" s="19">
        <v>0</v>
      </c>
      <c r="Z46" s="15">
        <v>0</v>
      </c>
      <c r="AA46" s="11"/>
      <c r="AB46" s="11"/>
      <c r="AC46" s="15"/>
      <c r="AD46" s="15"/>
      <c r="AE46" s="11"/>
      <c r="AF46" s="11"/>
      <c r="AG46" s="15"/>
      <c r="AH46" s="19"/>
      <c r="AI46" s="19"/>
      <c r="AJ46" s="19"/>
      <c r="AK46" s="15"/>
      <c r="AL46" s="11"/>
      <c r="AM46" s="11"/>
      <c r="AN46" s="15"/>
      <c r="AO46" s="19"/>
      <c r="AP46" s="19"/>
      <c r="AQ46" s="19"/>
      <c r="AR46" s="15"/>
    </row>
    <row r="47" spans="1:44">
      <c r="A47" s="3" t="s">
        <v>51</v>
      </c>
      <c r="B47" s="6" t="s">
        <v>52</v>
      </c>
      <c r="C47" s="6" t="s">
        <v>46</v>
      </c>
      <c r="D47" s="6" t="s">
        <v>53</v>
      </c>
      <c r="E47" s="30">
        <v>2</v>
      </c>
      <c r="F47" s="11" t="s">
        <v>54</v>
      </c>
      <c r="G47" s="11">
        <v>0.441458333333333</v>
      </c>
      <c r="H47" s="11" t="s">
        <v>54</v>
      </c>
      <c r="I47" s="11">
        <v>-86.9483582858547</v>
      </c>
      <c r="J47" s="11">
        <v>6.95748105680487</v>
      </c>
      <c r="K47" s="15">
        <v>0.999370673379484</v>
      </c>
      <c r="L47" s="15">
        <v>0.999370673379484</v>
      </c>
      <c r="M47" s="11">
        <v>8.25082837666667</v>
      </c>
      <c r="N47" s="11">
        <v>8.66851</v>
      </c>
      <c r="O47" s="15">
        <v>1</v>
      </c>
      <c r="P47" s="19">
        <v>10</v>
      </c>
      <c r="Q47" s="19">
        <v>10</v>
      </c>
      <c r="R47" s="19">
        <v>0</v>
      </c>
      <c r="S47" s="15">
        <v>0</v>
      </c>
      <c r="T47" s="11">
        <v>4.68532986333333</v>
      </c>
      <c r="U47" s="11">
        <v>6.09218</v>
      </c>
      <c r="V47" s="15">
        <v>1</v>
      </c>
      <c r="W47" s="19">
        <v>10</v>
      </c>
      <c r="X47" s="19">
        <v>10</v>
      </c>
      <c r="Y47" s="19">
        <v>0</v>
      </c>
      <c r="Z47" s="15">
        <v>0</v>
      </c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</row>
    <row r="48" spans="1:44">
      <c r="A48" s="3" t="s">
        <v>51</v>
      </c>
      <c r="B48" s="4" t="s">
        <v>62</v>
      </c>
      <c r="C48" s="4" t="s">
        <v>49</v>
      </c>
      <c r="D48" s="4" t="s">
        <v>50</v>
      </c>
      <c r="E48" s="30">
        <v>2</v>
      </c>
      <c r="F48" s="11">
        <v>2.17256402724981</v>
      </c>
      <c r="G48" s="11">
        <v>0</v>
      </c>
      <c r="H48" s="11" t="s">
        <v>54</v>
      </c>
      <c r="I48" s="11">
        <v>-86.611133008884</v>
      </c>
      <c r="J48" s="11">
        <v>4.04596998043184</v>
      </c>
      <c r="K48" s="15">
        <v>0.939579967689822</v>
      </c>
      <c r="L48" s="15">
        <v>0.939687668282176</v>
      </c>
      <c r="M48" s="11">
        <v>2.83299570883055</v>
      </c>
      <c r="N48" s="11">
        <v>6.33063</v>
      </c>
      <c r="O48" s="15">
        <v>0.536992840095465</v>
      </c>
      <c r="P48" s="19">
        <v>14</v>
      </c>
      <c r="Q48" s="19">
        <v>14</v>
      </c>
      <c r="R48" s="19">
        <v>0</v>
      </c>
      <c r="S48" s="15">
        <v>0</v>
      </c>
      <c r="T48" s="11">
        <v>3.72173724871795</v>
      </c>
      <c r="U48" s="11">
        <v>4.81444</v>
      </c>
      <c r="V48" s="15">
        <v>1</v>
      </c>
      <c r="W48" s="19">
        <v>13</v>
      </c>
      <c r="X48" s="19">
        <v>13</v>
      </c>
      <c r="Y48" s="19">
        <v>0</v>
      </c>
      <c r="Z48" s="15">
        <v>0</v>
      </c>
      <c r="AA48" s="11">
        <v>-86.4525634940429</v>
      </c>
      <c r="AB48" s="11">
        <v>3.66569072094518</v>
      </c>
      <c r="AC48" s="15">
        <v>0.98936170212766</v>
      </c>
      <c r="AD48" s="15">
        <v>0.98936170212766</v>
      </c>
      <c r="AE48" s="11">
        <v>2.89691254579968</v>
      </c>
      <c r="AF48" s="11">
        <v>5.57408055555556</v>
      </c>
      <c r="AG48" s="15">
        <v>0.53125</v>
      </c>
      <c r="AH48" s="19">
        <v>14</v>
      </c>
      <c r="AI48" s="19">
        <v>14</v>
      </c>
      <c r="AJ48" s="19">
        <v>0</v>
      </c>
      <c r="AK48" s="15">
        <v>0</v>
      </c>
      <c r="AL48" s="11">
        <v>3.79492781428664</v>
      </c>
      <c r="AM48" s="11">
        <v>4.611816</v>
      </c>
      <c r="AN48" s="15">
        <v>1</v>
      </c>
      <c r="AO48" s="19">
        <v>13</v>
      </c>
      <c r="AP48" s="19">
        <v>13</v>
      </c>
      <c r="AQ48" s="19">
        <v>0</v>
      </c>
      <c r="AR48" s="15">
        <v>0</v>
      </c>
    </row>
    <row r="49" spans="1:44">
      <c r="A49" s="3" t="s">
        <v>44</v>
      </c>
      <c r="B49" s="3" t="s">
        <v>48</v>
      </c>
      <c r="C49" s="4" t="s">
        <v>46</v>
      </c>
      <c r="D49" s="5" t="s">
        <v>47</v>
      </c>
      <c r="E49" s="29">
        <v>2</v>
      </c>
      <c r="F49" s="10"/>
      <c r="G49" s="10">
        <v>0.237</v>
      </c>
      <c r="H49" s="10"/>
      <c r="I49" s="10">
        <v>-86.5680124461465</v>
      </c>
      <c r="J49" s="10">
        <v>13.1294626615606</v>
      </c>
      <c r="K49" s="14">
        <v>1</v>
      </c>
      <c r="L49" s="14">
        <v>1</v>
      </c>
      <c r="M49" s="10">
        <v>9.16028712871287</v>
      </c>
      <c r="N49" s="10">
        <v>9.545</v>
      </c>
      <c r="O49" s="14">
        <v>0.996699669966997</v>
      </c>
      <c r="P49" s="18">
        <v>10</v>
      </c>
      <c r="Q49" s="18">
        <v>10</v>
      </c>
      <c r="R49" s="18">
        <v>0</v>
      </c>
      <c r="S49" s="14">
        <v>0</v>
      </c>
      <c r="T49" s="10">
        <v>4.93750666666667</v>
      </c>
      <c r="U49" s="10">
        <v>5.889</v>
      </c>
      <c r="V49" s="14">
        <v>1</v>
      </c>
      <c r="W49" s="18">
        <v>10</v>
      </c>
      <c r="X49" s="18">
        <v>10</v>
      </c>
      <c r="Y49" s="18">
        <v>0</v>
      </c>
      <c r="Z49" s="14">
        <v>0</v>
      </c>
      <c r="AA49" s="10"/>
      <c r="AB49" s="10"/>
      <c r="AC49" s="14"/>
      <c r="AD49" s="14"/>
      <c r="AE49" s="10"/>
      <c r="AF49" s="10"/>
      <c r="AG49" s="14"/>
      <c r="AH49" s="18"/>
      <c r="AI49" s="18"/>
      <c r="AJ49" s="18"/>
      <c r="AK49" s="14"/>
      <c r="AL49" s="10"/>
      <c r="AM49" s="10"/>
      <c r="AN49" s="14"/>
      <c r="AO49" s="18"/>
      <c r="AP49" s="18"/>
      <c r="AQ49" s="18"/>
      <c r="AR49" s="14"/>
    </row>
    <row r="50" spans="1:44">
      <c r="A50" s="3" t="s">
        <v>51</v>
      </c>
      <c r="B50" s="4" t="s">
        <v>62</v>
      </c>
      <c r="C50" s="4" t="s">
        <v>46</v>
      </c>
      <c r="D50" s="4" t="s">
        <v>53</v>
      </c>
      <c r="E50" s="31">
        <v>1</v>
      </c>
      <c r="F50" s="11"/>
      <c r="G50" s="11">
        <v>0.381919444444444</v>
      </c>
      <c r="H50" s="11"/>
      <c r="I50" s="11">
        <v>-86.4126937659531</v>
      </c>
      <c r="J50" s="11">
        <v>9.4868270048014</v>
      </c>
      <c r="K50" s="15">
        <v>0.99504806291873</v>
      </c>
      <c r="L50" s="15">
        <v>0.99504806291873</v>
      </c>
      <c r="M50" s="11">
        <v>5.81477572333333</v>
      </c>
      <c r="N50" s="11">
        <v>8.08552</v>
      </c>
      <c r="O50" s="15">
        <v>1</v>
      </c>
      <c r="P50" s="19">
        <v>10</v>
      </c>
      <c r="Q50" s="19">
        <v>10</v>
      </c>
      <c r="R50" s="19">
        <v>0</v>
      </c>
      <c r="S50" s="15">
        <v>0</v>
      </c>
      <c r="T50" s="11">
        <v>2.86732312</v>
      </c>
      <c r="U50" s="11">
        <v>5.14056</v>
      </c>
      <c r="V50" s="15">
        <v>0.873333333333333</v>
      </c>
      <c r="W50" s="19">
        <v>10</v>
      </c>
      <c r="X50" s="19">
        <v>10</v>
      </c>
      <c r="Y50" s="19">
        <v>0</v>
      </c>
      <c r="Z50" s="15">
        <v>0</v>
      </c>
      <c r="AA50" s="11"/>
      <c r="AB50" s="11"/>
      <c r="AC50" s="15"/>
      <c r="AD50" s="15"/>
      <c r="AE50" s="11"/>
      <c r="AF50" s="11"/>
      <c r="AG50" s="15"/>
      <c r="AH50" s="19"/>
      <c r="AI50" s="19"/>
      <c r="AJ50" s="19"/>
      <c r="AK50" s="15"/>
      <c r="AL50" s="11"/>
      <c r="AM50" s="11"/>
      <c r="AN50" s="15"/>
      <c r="AO50" s="19"/>
      <c r="AP50" s="19"/>
      <c r="AQ50" s="19"/>
      <c r="AR50" s="15"/>
    </row>
    <row r="51" spans="1:44">
      <c r="A51" s="3" t="s">
        <v>51</v>
      </c>
      <c r="B51" s="5" t="s">
        <v>63</v>
      </c>
      <c r="C51" s="5" t="s">
        <v>46</v>
      </c>
      <c r="D51" s="5" t="s">
        <v>47</v>
      </c>
      <c r="E51" s="31">
        <v>2</v>
      </c>
      <c r="F51" s="11" t="s">
        <v>54</v>
      </c>
      <c r="G51" s="11">
        <v>0.383805555555556</v>
      </c>
      <c r="H51" s="11" t="s">
        <v>54</v>
      </c>
      <c r="I51" s="11">
        <v>-86.0854409423084</v>
      </c>
      <c r="J51" s="11">
        <v>5.89707009889014</v>
      </c>
      <c r="K51" s="15">
        <v>1</v>
      </c>
      <c r="L51" s="15">
        <v>1</v>
      </c>
      <c r="M51" s="11">
        <v>8.58306846</v>
      </c>
      <c r="N51" s="11">
        <v>9.88669</v>
      </c>
      <c r="O51" s="15">
        <v>1</v>
      </c>
      <c r="P51" s="19">
        <v>10</v>
      </c>
      <c r="Q51" s="19">
        <v>10</v>
      </c>
      <c r="R51" s="19">
        <v>0</v>
      </c>
      <c r="S51" s="15">
        <v>0</v>
      </c>
      <c r="T51" s="11">
        <v>4.20899195364238</v>
      </c>
      <c r="U51" s="11">
        <v>5.76577</v>
      </c>
      <c r="V51" s="15">
        <v>0.993377483443709</v>
      </c>
      <c r="W51" s="19">
        <v>11</v>
      </c>
      <c r="X51" s="19">
        <v>11</v>
      </c>
      <c r="Y51" s="19">
        <v>0</v>
      </c>
      <c r="Z51" s="15">
        <v>0</v>
      </c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</row>
    <row r="52" spans="1:44">
      <c r="A52" s="3" t="s">
        <v>51</v>
      </c>
      <c r="B52" s="5" t="s">
        <v>55</v>
      </c>
      <c r="C52" s="5" t="s">
        <v>49</v>
      </c>
      <c r="D52" s="5" t="s">
        <v>50</v>
      </c>
      <c r="E52" s="33">
        <v>3</v>
      </c>
      <c r="F52" s="11">
        <v>2.14353608834744</v>
      </c>
      <c r="G52" s="11">
        <v>0.5395</v>
      </c>
      <c r="H52" s="11">
        <v>3.97319015449015</v>
      </c>
      <c r="I52" s="11">
        <v>-86.0505572512783</v>
      </c>
      <c r="J52" s="11">
        <v>9.83216576934526</v>
      </c>
      <c r="K52" s="15">
        <v>0.887905911740216</v>
      </c>
      <c r="L52" s="15">
        <v>0.93161948376353</v>
      </c>
      <c r="M52" s="11">
        <v>7.16972557069409</v>
      </c>
      <c r="N52" s="11">
        <v>10.0966</v>
      </c>
      <c r="O52" s="15">
        <v>0.961439588688946</v>
      </c>
      <c r="P52" s="19">
        <v>14</v>
      </c>
      <c r="Q52" s="19">
        <v>13</v>
      </c>
      <c r="R52" s="19">
        <v>1</v>
      </c>
      <c r="S52" s="15">
        <v>0.0769230769230769</v>
      </c>
      <c r="T52" s="11">
        <v>4.26689519555556</v>
      </c>
      <c r="U52" s="11">
        <v>5.43457</v>
      </c>
      <c r="V52" s="15">
        <v>0.993333333333333</v>
      </c>
      <c r="W52" s="19">
        <v>15</v>
      </c>
      <c r="X52" s="19">
        <v>15</v>
      </c>
      <c r="Y52" s="19">
        <v>0</v>
      </c>
      <c r="Z52" s="15">
        <v>0</v>
      </c>
      <c r="AA52" s="11">
        <v>-85.5332781718694</v>
      </c>
      <c r="AB52" s="11">
        <v>10.3518722348517</v>
      </c>
      <c r="AC52" s="15">
        <v>0.9</v>
      </c>
      <c r="AD52" s="15">
        <v>0.966666666666667</v>
      </c>
      <c r="AE52" s="11">
        <v>7.35975864290338</v>
      </c>
      <c r="AF52" s="11">
        <v>9.95844615789474</v>
      </c>
      <c r="AG52" s="15">
        <v>1</v>
      </c>
      <c r="AH52" s="19">
        <v>14</v>
      </c>
      <c r="AI52" s="19">
        <v>13</v>
      </c>
      <c r="AJ52" s="19">
        <v>1</v>
      </c>
      <c r="AK52" s="15">
        <v>0.0769230769230769</v>
      </c>
      <c r="AL52" s="11">
        <v>4.16067427163877</v>
      </c>
      <c r="AM52" s="11">
        <v>4.893968</v>
      </c>
      <c r="AN52" s="15">
        <v>1</v>
      </c>
      <c r="AO52" s="19">
        <v>15</v>
      </c>
      <c r="AP52" s="19">
        <v>15</v>
      </c>
      <c r="AQ52" s="19">
        <v>0</v>
      </c>
      <c r="AR52" s="15">
        <v>0</v>
      </c>
    </row>
    <row r="53" spans="1:44">
      <c r="A53" s="3" t="s">
        <v>44</v>
      </c>
      <c r="B53" s="3" t="s">
        <v>45</v>
      </c>
      <c r="C53" s="4" t="s">
        <v>49</v>
      </c>
      <c r="D53" s="5" t="s">
        <v>50</v>
      </c>
      <c r="E53" s="29">
        <v>3</v>
      </c>
      <c r="F53" s="10">
        <v>2.577</v>
      </c>
      <c r="G53" s="10">
        <v>0.547</v>
      </c>
      <c r="H53" s="10">
        <v>4.71115173674589</v>
      </c>
      <c r="I53" s="10">
        <v>-85.8165299700815</v>
      </c>
      <c r="J53" s="10">
        <v>7.18597420819148</v>
      </c>
      <c r="K53" s="14">
        <v>0.937171154441349</v>
      </c>
      <c r="L53" s="14">
        <v>0.937274321675436</v>
      </c>
      <c r="M53" s="10">
        <v>7.61746372688478</v>
      </c>
      <c r="N53" s="10">
        <v>8.861</v>
      </c>
      <c r="O53" s="14">
        <v>0.995732574679943</v>
      </c>
      <c r="P53" s="18">
        <v>23</v>
      </c>
      <c r="Q53" s="18">
        <v>23</v>
      </c>
      <c r="R53" s="18">
        <v>0</v>
      </c>
      <c r="S53" s="14">
        <v>0</v>
      </c>
      <c r="T53" s="10">
        <v>4.55114884393064</v>
      </c>
      <c r="U53" s="10">
        <v>5.728</v>
      </c>
      <c r="V53" s="14">
        <v>0.984104046242775</v>
      </c>
      <c r="W53" s="18">
        <v>23</v>
      </c>
      <c r="X53" s="18">
        <v>23</v>
      </c>
      <c r="Y53" s="18">
        <v>0</v>
      </c>
      <c r="Z53" s="14">
        <v>0</v>
      </c>
      <c r="AA53" s="10">
        <v>-86.2953452380952</v>
      </c>
      <c r="AB53" s="10">
        <v>7.08633928571429</v>
      </c>
      <c r="AC53" s="14">
        <v>0.952380952380952</v>
      </c>
      <c r="AD53" s="14">
        <v>0.952380952380952</v>
      </c>
      <c r="AE53" s="10">
        <v>7.56830158730159</v>
      </c>
      <c r="AF53" s="10">
        <v>8.728</v>
      </c>
      <c r="AG53" s="14">
        <v>1</v>
      </c>
      <c r="AH53" s="18">
        <v>23</v>
      </c>
      <c r="AI53" s="18">
        <v>23</v>
      </c>
      <c r="AJ53" s="18">
        <v>0</v>
      </c>
      <c r="AK53" s="14">
        <v>0</v>
      </c>
      <c r="AL53" s="10">
        <v>4.59021538461538</v>
      </c>
      <c r="AM53" s="10">
        <v>5.182</v>
      </c>
      <c r="AN53" s="14">
        <v>1</v>
      </c>
      <c r="AO53" s="18">
        <v>23</v>
      </c>
      <c r="AP53" s="18">
        <v>23</v>
      </c>
      <c r="AQ53" s="18">
        <v>0</v>
      </c>
      <c r="AR53" s="14">
        <v>0</v>
      </c>
    </row>
    <row r="54" spans="1:44">
      <c r="A54" s="3" t="s">
        <v>51</v>
      </c>
      <c r="B54" s="4" t="s">
        <v>62</v>
      </c>
      <c r="C54" s="4" t="s">
        <v>46</v>
      </c>
      <c r="D54" s="4" t="s">
        <v>57</v>
      </c>
      <c r="E54" s="31">
        <v>2</v>
      </c>
      <c r="F54" s="11" t="s">
        <v>54</v>
      </c>
      <c r="G54" s="11">
        <v>0.374825</v>
      </c>
      <c r="H54" s="11" t="s">
        <v>54</v>
      </c>
      <c r="I54" s="11">
        <v>-85.8151989859641</v>
      </c>
      <c r="J54" s="11">
        <v>13.3876852369294</v>
      </c>
      <c r="K54" s="15">
        <v>1</v>
      </c>
      <c r="L54" s="15">
        <v>1</v>
      </c>
      <c r="M54" s="11">
        <v>9.45897475585284</v>
      </c>
      <c r="N54" s="11">
        <v>11.3031</v>
      </c>
      <c r="O54" s="15">
        <v>1</v>
      </c>
      <c r="P54" s="19">
        <v>10</v>
      </c>
      <c r="Q54" s="19">
        <v>10</v>
      </c>
      <c r="R54" s="19">
        <v>0</v>
      </c>
      <c r="S54" s="15">
        <v>0</v>
      </c>
      <c r="T54" s="11">
        <v>4.63173664</v>
      </c>
      <c r="U54" s="11">
        <v>6.06181</v>
      </c>
      <c r="V54" s="15">
        <v>0.996666666666667</v>
      </c>
      <c r="W54" s="19">
        <v>10</v>
      </c>
      <c r="X54" s="19">
        <v>10</v>
      </c>
      <c r="Y54" s="19">
        <v>0</v>
      </c>
      <c r="Z54" s="15">
        <v>0</v>
      </c>
      <c r="AA54" s="11"/>
      <c r="AB54" s="11"/>
      <c r="AC54" s="15"/>
      <c r="AD54" s="15"/>
      <c r="AE54" s="11"/>
      <c r="AF54" s="11"/>
      <c r="AG54" s="15"/>
      <c r="AH54" s="19"/>
      <c r="AI54" s="19"/>
      <c r="AJ54" s="19"/>
      <c r="AK54" s="15"/>
      <c r="AL54" s="11"/>
      <c r="AM54" s="11"/>
      <c r="AN54" s="15"/>
      <c r="AO54" s="19"/>
      <c r="AP54" s="19"/>
      <c r="AQ54" s="19"/>
      <c r="AR54" s="15"/>
    </row>
    <row r="55" spans="1:44">
      <c r="A55" s="3" t="s">
        <v>44</v>
      </c>
      <c r="B55" s="3" t="s">
        <v>59</v>
      </c>
      <c r="C55" s="4" t="s">
        <v>46</v>
      </c>
      <c r="D55" s="5" t="s">
        <v>57</v>
      </c>
      <c r="E55" s="29">
        <v>3</v>
      </c>
      <c r="F55" s="10"/>
      <c r="G55" s="10">
        <v>0.237</v>
      </c>
      <c r="H55" s="10"/>
      <c r="I55" s="10">
        <v>-85.7768386714116</v>
      </c>
      <c r="J55" s="10">
        <v>5.19090106761566</v>
      </c>
      <c r="K55" s="14">
        <v>0.941399762752076</v>
      </c>
      <c r="L55" s="14">
        <v>0.941399762752076</v>
      </c>
      <c r="M55" s="10">
        <v>8.64503908794788</v>
      </c>
      <c r="N55" s="10">
        <v>9.774</v>
      </c>
      <c r="O55" s="14">
        <v>1</v>
      </c>
      <c r="P55" s="18">
        <v>10</v>
      </c>
      <c r="Q55" s="18">
        <v>10</v>
      </c>
      <c r="R55" s="18">
        <v>0</v>
      </c>
      <c r="S55" s="14">
        <v>0</v>
      </c>
      <c r="T55" s="10">
        <v>4.85066333333333</v>
      </c>
      <c r="U55" s="10">
        <v>5.907</v>
      </c>
      <c r="V55" s="14">
        <v>1</v>
      </c>
      <c r="W55" s="18">
        <v>10</v>
      </c>
      <c r="X55" s="18">
        <v>10</v>
      </c>
      <c r="Y55" s="18">
        <v>0</v>
      </c>
      <c r="Z55" s="14">
        <v>0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1:44">
      <c r="A56" s="3" t="s">
        <v>51</v>
      </c>
      <c r="B56" s="4" t="s">
        <v>62</v>
      </c>
      <c r="C56" s="4" t="s">
        <v>49</v>
      </c>
      <c r="D56" s="4" t="s">
        <v>61</v>
      </c>
      <c r="E56" s="30">
        <v>3</v>
      </c>
      <c r="F56" s="11">
        <v>2.1691858626008</v>
      </c>
      <c r="G56" s="11">
        <v>0.504975</v>
      </c>
      <c r="H56" s="11">
        <v>4.29563020466519</v>
      </c>
      <c r="I56" s="11">
        <v>-85.6747250000995</v>
      </c>
      <c r="J56" s="11">
        <v>10.8506954232235</v>
      </c>
      <c r="K56" s="15">
        <v>0.988660134316856</v>
      </c>
      <c r="L56" s="15">
        <v>0.990201475283497</v>
      </c>
      <c r="M56" s="11">
        <v>8.52522942051282</v>
      </c>
      <c r="N56" s="11">
        <v>9.40127</v>
      </c>
      <c r="O56" s="15">
        <v>1</v>
      </c>
      <c r="P56" s="19">
        <v>13</v>
      </c>
      <c r="Q56" s="19">
        <v>13</v>
      </c>
      <c r="R56" s="19">
        <v>0</v>
      </c>
      <c r="S56" s="15">
        <v>0</v>
      </c>
      <c r="T56" s="11">
        <v>4.38542383571428</v>
      </c>
      <c r="U56" s="11">
        <v>6.09829</v>
      </c>
      <c r="V56" s="15">
        <v>0.976190476190476</v>
      </c>
      <c r="W56" s="19">
        <v>14</v>
      </c>
      <c r="X56" s="19">
        <v>14</v>
      </c>
      <c r="Y56" s="19">
        <v>0</v>
      </c>
      <c r="Z56" s="15">
        <v>0</v>
      </c>
      <c r="AA56" s="11">
        <v>-85.0189299635039</v>
      </c>
      <c r="AB56" s="11">
        <v>11.4811684915346</v>
      </c>
      <c r="AC56" s="15">
        <v>1</v>
      </c>
      <c r="AD56" s="15">
        <v>1</v>
      </c>
      <c r="AE56" s="11">
        <v>8.60170488401251</v>
      </c>
      <c r="AF56" s="11">
        <v>9.38338714285714</v>
      </c>
      <c r="AG56" s="15">
        <v>1</v>
      </c>
      <c r="AH56" s="19">
        <v>13</v>
      </c>
      <c r="AI56" s="19">
        <v>13</v>
      </c>
      <c r="AJ56" s="19">
        <v>0</v>
      </c>
      <c r="AK56" s="15">
        <v>0</v>
      </c>
      <c r="AL56" s="11">
        <v>4.28998898035204</v>
      </c>
      <c r="AM56" s="11">
        <v>4.80605933333333</v>
      </c>
      <c r="AN56" s="15">
        <v>0.975609756097561</v>
      </c>
      <c r="AO56" s="19">
        <v>14</v>
      </c>
      <c r="AP56" s="19">
        <v>14</v>
      </c>
      <c r="AQ56" s="19">
        <v>0</v>
      </c>
      <c r="AR56" s="15">
        <v>0</v>
      </c>
    </row>
    <row r="57" spans="1:44">
      <c r="A57" s="3" t="s">
        <v>44</v>
      </c>
      <c r="B57" s="3" t="s">
        <v>59</v>
      </c>
      <c r="C57" s="4" t="s">
        <v>46</v>
      </c>
      <c r="D57" s="5" t="s">
        <v>57</v>
      </c>
      <c r="E57" s="29">
        <v>2</v>
      </c>
      <c r="F57" s="10"/>
      <c r="G57" s="10">
        <v>0.237</v>
      </c>
      <c r="H57" s="10"/>
      <c r="I57" s="10">
        <v>-85.632006168446</v>
      </c>
      <c r="J57" s="10">
        <v>12.2649596678529</v>
      </c>
      <c r="K57" s="14">
        <v>1</v>
      </c>
      <c r="L57" s="14">
        <v>1</v>
      </c>
      <c r="M57" s="10">
        <v>8.13236601307189</v>
      </c>
      <c r="N57" s="10">
        <v>8.641</v>
      </c>
      <c r="O57" s="14">
        <v>1</v>
      </c>
      <c r="P57" s="18">
        <v>10</v>
      </c>
      <c r="Q57" s="18">
        <v>10</v>
      </c>
      <c r="R57" s="18">
        <v>0</v>
      </c>
      <c r="S57" s="14">
        <v>0</v>
      </c>
      <c r="T57" s="10">
        <v>5.02597666666667</v>
      </c>
      <c r="U57" s="10">
        <v>5.962</v>
      </c>
      <c r="V57" s="14">
        <v>1</v>
      </c>
      <c r="W57" s="18">
        <v>10</v>
      </c>
      <c r="X57" s="18">
        <v>10</v>
      </c>
      <c r="Y57" s="18">
        <v>0</v>
      </c>
      <c r="Z57" s="14">
        <v>0</v>
      </c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</row>
    <row r="58" spans="1:44">
      <c r="A58" s="3" t="s">
        <v>51</v>
      </c>
      <c r="B58" s="5" t="s">
        <v>55</v>
      </c>
      <c r="C58" s="5" t="s">
        <v>46</v>
      </c>
      <c r="D58" s="5" t="s">
        <v>53</v>
      </c>
      <c r="E58" s="33">
        <v>3</v>
      </c>
      <c r="F58" s="11" t="s">
        <v>54</v>
      </c>
      <c r="G58" s="11">
        <v>0.384752777777778</v>
      </c>
      <c r="H58" s="11" t="s">
        <v>54</v>
      </c>
      <c r="I58" s="11">
        <v>-85.6276097028203</v>
      </c>
      <c r="J58" s="11">
        <v>4.42032161548417</v>
      </c>
      <c r="K58" s="15">
        <v>1</v>
      </c>
      <c r="L58" s="15">
        <v>1</v>
      </c>
      <c r="M58" s="11">
        <v>9.49885261333333</v>
      </c>
      <c r="N58" s="11">
        <v>11.4038</v>
      </c>
      <c r="O58" s="15">
        <v>1</v>
      </c>
      <c r="P58" s="19">
        <v>10</v>
      </c>
      <c r="Q58" s="19">
        <v>10</v>
      </c>
      <c r="R58" s="19">
        <v>0</v>
      </c>
      <c r="S58" s="15">
        <v>0</v>
      </c>
      <c r="T58" s="11">
        <v>4.67265733666667</v>
      </c>
      <c r="U58" s="11">
        <v>6.08</v>
      </c>
      <c r="V58" s="15">
        <v>0.993333333333333</v>
      </c>
      <c r="W58" s="19">
        <v>10</v>
      </c>
      <c r="X58" s="19">
        <v>10</v>
      </c>
      <c r="Y58" s="19">
        <v>0</v>
      </c>
      <c r="Z58" s="15">
        <v>0</v>
      </c>
      <c r="AA58" s="11"/>
      <c r="AB58" s="11"/>
      <c r="AC58" s="15"/>
      <c r="AD58" s="15"/>
      <c r="AE58" s="11"/>
      <c r="AF58" s="11"/>
      <c r="AG58" s="15"/>
      <c r="AH58" s="19"/>
      <c r="AI58" s="19"/>
      <c r="AJ58" s="19"/>
      <c r="AK58" s="15"/>
      <c r="AL58" s="11"/>
      <c r="AM58" s="11"/>
      <c r="AN58" s="15"/>
      <c r="AO58" s="19"/>
      <c r="AP58" s="19"/>
      <c r="AQ58" s="19"/>
      <c r="AR58" s="15"/>
    </row>
    <row r="59" spans="1:44">
      <c r="A59" s="3" t="s">
        <v>44</v>
      </c>
      <c r="B59" s="3" t="s">
        <v>56</v>
      </c>
      <c r="C59" s="4" t="s">
        <v>46</v>
      </c>
      <c r="D59" s="5" t="s">
        <v>53</v>
      </c>
      <c r="E59" s="29">
        <v>1</v>
      </c>
      <c r="F59" s="10"/>
      <c r="G59" s="10">
        <v>0.245</v>
      </c>
      <c r="H59" s="10"/>
      <c r="I59" s="10">
        <v>-85.5144400093919</v>
      </c>
      <c r="J59" s="10">
        <v>7.48213242545198</v>
      </c>
      <c r="K59" s="14">
        <v>0.999765203099319</v>
      </c>
      <c r="L59" s="14">
        <v>0.999765203099319</v>
      </c>
      <c r="M59" s="10">
        <v>4.54688524590164</v>
      </c>
      <c r="N59" s="10">
        <v>7.051</v>
      </c>
      <c r="O59" s="14">
        <v>0.934426229508197</v>
      </c>
      <c r="P59" s="18">
        <v>10</v>
      </c>
      <c r="Q59" s="18">
        <v>10</v>
      </c>
      <c r="R59" s="18">
        <v>0</v>
      </c>
      <c r="S59" s="14">
        <v>0</v>
      </c>
      <c r="T59" s="10">
        <v>3.15410264900662</v>
      </c>
      <c r="U59" s="10">
        <v>5.452</v>
      </c>
      <c r="V59" s="14">
        <v>0.877483443708609</v>
      </c>
      <c r="W59" s="18">
        <v>10</v>
      </c>
      <c r="X59" s="18">
        <v>10</v>
      </c>
      <c r="Y59" s="18">
        <v>0</v>
      </c>
      <c r="Z59" s="14">
        <v>0</v>
      </c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</row>
    <row r="60" spans="1:44">
      <c r="A60" s="3" t="s">
        <v>44</v>
      </c>
      <c r="B60" s="3" t="s">
        <v>45</v>
      </c>
      <c r="C60" s="8" t="s">
        <v>49</v>
      </c>
      <c r="D60" s="5" t="s">
        <v>50</v>
      </c>
      <c r="E60" s="29">
        <v>2</v>
      </c>
      <c r="F60" s="10">
        <v>2.577</v>
      </c>
      <c r="G60" s="10">
        <v>0.547</v>
      </c>
      <c r="H60" s="10">
        <v>4.71115173674589</v>
      </c>
      <c r="I60" s="10">
        <v>-85.4760978249665</v>
      </c>
      <c r="J60" s="10">
        <v>5.64694361406041</v>
      </c>
      <c r="K60" s="14">
        <v>0.88939284609834</v>
      </c>
      <c r="L60" s="14">
        <v>0.88939284609834</v>
      </c>
      <c r="M60" s="10">
        <v>7.52636766809728</v>
      </c>
      <c r="N60" s="10">
        <v>9.2630005</v>
      </c>
      <c r="O60" s="14">
        <v>0.97997138769671</v>
      </c>
      <c r="P60" s="18">
        <v>23</v>
      </c>
      <c r="Q60" s="18">
        <v>23</v>
      </c>
      <c r="R60" s="18">
        <v>0</v>
      </c>
      <c r="S60" s="14">
        <v>0</v>
      </c>
      <c r="T60" s="10">
        <v>4.67262662807525</v>
      </c>
      <c r="U60" s="10">
        <v>5.773</v>
      </c>
      <c r="V60" s="14">
        <v>0.988422575976845</v>
      </c>
      <c r="W60" s="18">
        <v>23</v>
      </c>
      <c r="X60" s="18">
        <v>23</v>
      </c>
      <c r="Y60" s="18">
        <v>0</v>
      </c>
      <c r="Z60" s="14">
        <v>0</v>
      </c>
      <c r="AA60" s="10">
        <v>-85.5943452380952</v>
      </c>
      <c r="AB60" s="10">
        <v>5.6027380952381</v>
      </c>
      <c r="AC60" s="14">
        <v>0.93452380952381</v>
      </c>
      <c r="AD60" s="14">
        <v>0.93452380952381</v>
      </c>
      <c r="AE60" s="10">
        <v>7.48144444444444</v>
      </c>
      <c r="AF60" s="10">
        <v>9.19</v>
      </c>
      <c r="AG60" s="14">
        <v>1</v>
      </c>
      <c r="AH60" s="18">
        <v>23</v>
      </c>
      <c r="AI60" s="18">
        <v>23</v>
      </c>
      <c r="AJ60" s="18">
        <v>0</v>
      </c>
      <c r="AK60" s="14">
        <v>0</v>
      </c>
      <c r="AL60" s="10">
        <v>4.665328125</v>
      </c>
      <c r="AM60" s="10">
        <v>5.277</v>
      </c>
      <c r="AN60" s="14">
        <v>1</v>
      </c>
      <c r="AO60" s="18">
        <v>23</v>
      </c>
      <c r="AP60" s="18">
        <v>23</v>
      </c>
      <c r="AQ60" s="18">
        <v>0</v>
      </c>
      <c r="AR60" s="14">
        <v>0</v>
      </c>
    </row>
    <row r="61" spans="1:44">
      <c r="A61" s="3" t="s">
        <v>44</v>
      </c>
      <c r="B61" s="7" t="s">
        <v>60</v>
      </c>
      <c r="C61" s="4" t="s">
        <v>49</v>
      </c>
      <c r="D61" s="5" t="s">
        <v>50</v>
      </c>
      <c r="E61" s="29">
        <v>1</v>
      </c>
      <c r="F61" s="10">
        <v>2.611</v>
      </c>
      <c r="G61" s="10">
        <v>0.64</v>
      </c>
      <c r="H61" s="10">
        <v>4.0796875</v>
      </c>
      <c r="I61" s="10">
        <v>-85.3687532241199</v>
      </c>
      <c r="J61" s="10">
        <v>6.33988802718717</v>
      </c>
      <c r="K61" s="14">
        <v>0.842628093412339</v>
      </c>
      <c r="L61" s="14">
        <v>0.848727779714186</v>
      </c>
      <c r="M61" s="10">
        <v>6.81060506329114</v>
      </c>
      <c r="N61" s="10">
        <v>8.754</v>
      </c>
      <c r="O61" s="14">
        <v>0.970886075949367</v>
      </c>
      <c r="P61" s="18">
        <v>26</v>
      </c>
      <c r="Q61" s="18">
        <v>26</v>
      </c>
      <c r="R61" s="18">
        <v>0</v>
      </c>
      <c r="S61" s="14">
        <v>0</v>
      </c>
      <c r="T61" s="10">
        <v>3.76307918263091</v>
      </c>
      <c r="U61" s="10">
        <v>5.769</v>
      </c>
      <c r="V61" s="14">
        <v>0.869731800766284</v>
      </c>
      <c r="W61" s="18">
        <v>26</v>
      </c>
      <c r="X61" s="18">
        <v>26</v>
      </c>
      <c r="Y61" s="18">
        <v>0</v>
      </c>
      <c r="Z61" s="14">
        <v>0</v>
      </c>
      <c r="AA61" s="10">
        <v>-85.8377337278106</v>
      </c>
      <c r="AB61" s="10">
        <v>6.63914792899408</v>
      </c>
      <c r="AC61" s="14">
        <v>0.887573964497042</v>
      </c>
      <c r="AD61" s="14">
        <v>0.887573964497042</v>
      </c>
      <c r="AE61" s="10">
        <v>6.708</v>
      </c>
      <c r="AF61" s="10">
        <v>8.615</v>
      </c>
      <c r="AG61" s="14">
        <v>0.985074626865672</v>
      </c>
      <c r="AH61" s="18">
        <v>26</v>
      </c>
      <c r="AI61" s="18">
        <v>26</v>
      </c>
      <c r="AJ61" s="18">
        <v>0</v>
      </c>
      <c r="AK61" s="14">
        <v>0</v>
      </c>
      <c r="AL61" s="10">
        <v>3.77901587301587</v>
      </c>
      <c r="AM61" s="10">
        <v>5.13</v>
      </c>
      <c r="AN61" s="14">
        <v>1</v>
      </c>
      <c r="AO61" s="18">
        <v>26</v>
      </c>
      <c r="AP61" s="18">
        <v>26</v>
      </c>
      <c r="AQ61" s="18">
        <v>0</v>
      </c>
      <c r="AR61" s="14">
        <v>0</v>
      </c>
    </row>
    <row r="62" spans="1:44">
      <c r="A62" s="3" t="s">
        <v>44</v>
      </c>
      <c r="B62" s="3" t="s">
        <v>48</v>
      </c>
      <c r="C62" s="4" t="s">
        <v>46</v>
      </c>
      <c r="D62" s="5" t="s">
        <v>47</v>
      </c>
      <c r="E62" s="29">
        <v>3</v>
      </c>
      <c r="F62" s="10"/>
      <c r="G62" s="10">
        <v>0.237</v>
      </c>
      <c r="H62" s="10"/>
      <c r="I62" s="10">
        <v>-85.2640984149515</v>
      </c>
      <c r="J62" s="10">
        <v>15.163910101727</v>
      </c>
      <c r="K62" s="14">
        <v>1</v>
      </c>
      <c r="L62" s="14">
        <v>1</v>
      </c>
      <c r="M62" s="10">
        <v>9.10406493506493</v>
      </c>
      <c r="N62" s="10">
        <v>9.524</v>
      </c>
      <c r="O62" s="14">
        <v>1</v>
      </c>
      <c r="P62" s="18">
        <v>10</v>
      </c>
      <c r="Q62" s="18">
        <v>10</v>
      </c>
      <c r="R62" s="18">
        <v>0</v>
      </c>
      <c r="S62" s="14">
        <v>0</v>
      </c>
      <c r="T62" s="10">
        <v>4.99995666666667</v>
      </c>
      <c r="U62" s="10">
        <v>5.868</v>
      </c>
      <c r="V62" s="14">
        <v>1</v>
      </c>
      <c r="W62" s="18">
        <v>10</v>
      </c>
      <c r="X62" s="18">
        <v>10</v>
      </c>
      <c r="Y62" s="18">
        <v>0</v>
      </c>
      <c r="Z62" s="14">
        <v>0</v>
      </c>
      <c r="AA62" s="10"/>
      <c r="AB62" s="10"/>
      <c r="AC62" s="14"/>
      <c r="AD62" s="14"/>
      <c r="AE62" s="10"/>
      <c r="AF62" s="10"/>
      <c r="AG62" s="14"/>
      <c r="AH62" s="18"/>
      <c r="AI62" s="18"/>
      <c r="AJ62" s="18"/>
      <c r="AK62" s="14"/>
      <c r="AL62" s="10"/>
      <c r="AM62" s="10"/>
      <c r="AN62" s="14"/>
      <c r="AO62" s="18"/>
      <c r="AP62" s="18"/>
      <c r="AQ62" s="18"/>
      <c r="AR62" s="14"/>
    </row>
    <row r="63" spans="1:44">
      <c r="A63" s="3" t="s">
        <v>44</v>
      </c>
      <c r="B63" s="3" t="s">
        <v>48</v>
      </c>
      <c r="C63" s="4" t="s">
        <v>49</v>
      </c>
      <c r="D63" s="5" t="s">
        <v>50</v>
      </c>
      <c r="E63" s="29">
        <v>2</v>
      </c>
      <c r="F63" s="10">
        <v>2.785</v>
      </c>
      <c r="G63" s="10">
        <v>0.674</v>
      </c>
      <c r="H63" s="10">
        <v>4.13204747774481</v>
      </c>
      <c r="I63" s="10">
        <v>-85.1219209716045</v>
      </c>
      <c r="J63" s="10">
        <v>12.6532538487855</v>
      </c>
      <c r="K63" s="14">
        <v>0.927129661306876</v>
      </c>
      <c r="L63" s="14">
        <v>0.962025316455696</v>
      </c>
      <c r="M63" s="10">
        <v>6.83464528301887</v>
      </c>
      <c r="N63" s="10">
        <v>9.591</v>
      </c>
      <c r="O63" s="14">
        <v>0.807547169811321</v>
      </c>
      <c r="P63" s="18">
        <v>26</v>
      </c>
      <c r="Q63" s="18">
        <v>26</v>
      </c>
      <c r="R63" s="18">
        <v>0</v>
      </c>
      <c r="S63" s="14">
        <v>0</v>
      </c>
      <c r="T63" s="10">
        <v>3.79359108280255</v>
      </c>
      <c r="U63" s="10">
        <v>5.663</v>
      </c>
      <c r="V63" s="14">
        <v>0.913375796178344</v>
      </c>
      <c r="W63" s="18">
        <v>26</v>
      </c>
      <c r="X63" s="18">
        <v>26</v>
      </c>
      <c r="Y63" s="18">
        <v>0</v>
      </c>
      <c r="Z63" s="14">
        <v>0</v>
      </c>
      <c r="AA63" s="10">
        <v>-84.9309340659341</v>
      </c>
      <c r="AB63" s="10">
        <v>12.8227362637363</v>
      </c>
      <c r="AC63" s="14">
        <v>0.945054945054945</v>
      </c>
      <c r="AD63" s="14">
        <v>0.967032967032967</v>
      </c>
      <c r="AE63" s="10">
        <v>6.77813333333333</v>
      </c>
      <c r="AF63" s="10">
        <v>9.106</v>
      </c>
      <c r="AG63" s="14">
        <v>0.8</v>
      </c>
      <c r="AH63" s="18">
        <v>26</v>
      </c>
      <c r="AI63" s="18">
        <v>26</v>
      </c>
      <c r="AJ63" s="18">
        <v>0</v>
      </c>
      <c r="AK63" s="14">
        <v>0</v>
      </c>
      <c r="AL63" s="10">
        <v>4.002515625</v>
      </c>
      <c r="AM63" s="10">
        <v>5.082</v>
      </c>
      <c r="AN63" s="14">
        <v>0.96875</v>
      </c>
      <c r="AO63" s="18">
        <v>26</v>
      </c>
      <c r="AP63" s="18">
        <v>26</v>
      </c>
      <c r="AQ63" s="18">
        <v>0</v>
      </c>
      <c r="AR63" s="14">
        <v>0</v>
      </c>
    </row>
    <row r="64" spans="1:44">
      <c r="A64" s="3" t="s">
        <v>51</v>
      </c>
      <c r="B64" s="5" t="s">
        <v>55</v>
      </c>
      <c r="C64" s="5" t="s">
        <v>46</v>
      </c>
      <c r="D64" s="5" t="s">
        <v>57</v>
      </c>
      <c r="E64" s="33">
        <v>3</v>
      </c>
      <c r="F64" s="11" t="s">
        <v>54</v>
      </c>
      <c r="G64" s="11">
        <v>0.376219444444444</v>
      </c>
      <c r="H64" s="11" t="s">
        <v>54</v>
      </c>
      <c r="I64" s="11">
        <v>-85.0984779473903</v>
      </c>
      <c r="J64" s="11">
        <v>4.90441448393713</v>
      </c>
      <c r="K64" s="15">
        <v>0.94634073632434</v>
      </c>
      <c r="L64" s="15">
        <v>0.94634073632434</v>
      </c>
      <c r="M64" s="11">
        <v>6.55013158139535</v>
      </c>
      <c r="N64" s="11">
        <v>9.78982</v>
      </c>
      <c r="O64" s="15">
        <v>0.970099667774086</v>
      </c>
      <c r="P64" s="19">
        <v>10</v>
      </c>
      <c r="Q64" s="19">
        <v>10</v>
      </c>
      <c r="R64" s="19">
        <v>0</v>
      </c>
      <c r="S64" s="15">
        <v>0</v>
      </c>
      <c r="T64" s="11">
        <v>4.36881577666667</v>
      </c>
      <c r="U64" s="11">
        <v>5.14056</v>
      </c>
      <c r="V64" s="15">
        <v>0.996666666666667</v>
      </c>
      <c r="W64" s="19">
        <v>10</v>
      </c>
      <c r="X64" s="19">
        <v>10</v>
      </c>
      <c r="Y64" s="19">
        <v>0</v>
      </c>
      <c r="Z64" s="15">
        <v>0</v>
      </c>
      <c r="AA64" s="11"/>
      <c r="AB64" s="11"/>
      <c r="AC64" s="15"/>
      <c r="AD64" s="15"/>
      <c r="AE64" s="11"/>
      <c r="AF64" s="11"/>
      <c r="AG64" s="15"/>
      <c r="AH64" s="19"/>
      <c r="AI64" s="19"/>
      <c r="AJ64" s="19"/>
      <c r="AK64" s="15"/>
      <c r="AL64" s="11"/>
      <c r="AM64" s="11"/>
      <c r="AN64" s="15"/>
      <c r="AO64" s="19"/>
      <c r="AP64" s="19"/>
      <c r="AQ64" s="19"/>
      <c r="AR64" s="15"/>
    </row>
    <row r="65" spans="1:44">
      <c r="A65" s="3" t="s">
        <v>51</v>
      </c>
      <c r="B65" s="5" t="s">
        <v>63</v>
      </c>
      <c r="C65" s="5" t="s">
        <v>46</v>
      </c>
      <c r="D65" s="5" t="s">
        <v>47</v>
      </c>
      <c r="E65" s="31">
        <v>3</v>
      </c>
      <c r="F65" s="11" t="s">
        <v>54</v>
      </c>
      <c r="G65" s="11">
        <v>0.384002777777778</v>
      </c>
      <c r="H65" s="11" t="s">
        <v>54</v>
      </c>
      <c r="I65" s="11">
        <v>-84.954531087892</v>
      </c>
      <c r="J65" s="11">
        <v>6.03485982652345</v>
      </c>
      <c r="K65" s="15">
        <v>1</v>
      </c>
      <c r="L65" s="15">
        <v>1</v>
      </c>
      <c r="M65" s="11">
        <v>8.45258696644295</v>
      </c>
      <c r="N65" s="11">
        <v>9.8376</v>
      </c>
      <c r="O65" s="15">
        <v>1</v>
      </c>
      <c r="P65" s="19">
        <v>10</v>
      </c>
      <c r="Q65" s="19">
        <v>10</v>
      </c>
      <c r="R65" s="19">
        <v>0</v>
      </c>
      <c r="S65" s="15">
        <v>0</v>
      </c>
      <c r="T65" s="11">
        <v>4.55963076333333</v>
      </c>
      <c r="U65" s="11">
        <v>6.09829</v>
      </c>
      <c r="V65" s="15">
        <v>0.993333333333333</v>
      </c>
      <c r="W65" s="19">
        <v>10</v>
      </c>
      <c r="X65" s="19">
        <v>10</v>
      </c>
      <c r="Y65" s="19">
        <v>0</v>
      </c>
      <c r="Z65" s="15">
        <v>0</v>
      </c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</row>
    <row r="66" spans="1:44">
      <c r="A66" s="3" t="s">
        <v>51</v>
      </c>
      <c r="B66" s="6" t="s">
        <v>52</v>
      </c>
      <c r="C66" s="6" t="s">
        <v>49</v>
      </c>
      <c r="D66" s="6" t="s">
        <v>50</v>
      </c>
      <c r="E66" s="46">
        <v>3</v>
      </c>
      <c r="F66" s="12">
        <v>5.61482901751995</v>
      </c>
      <c r="G66" s="12">
        <v>0.418983333333333</v>
      </c>
      <c r="H66" s="12">
        <v>13.4010796392536</v>
      </c>
      <c r="I66" s="12">
        <v>-84.926355371415</v>
      </c>
      <c r="J66" s="12">
        <v>7.40706830246058</v>
      </c>
      <c r="K66" s="16">
        <v>0.906002417080704</v>
      </c>
      <c r="L66" s="16">
        <v>0.90707667517121</v>
      </c>
      <c r="M66" s="12">
        <v>6.40532206143345</v>
      </c>
      <c r="N66" s="12">
        <v>8.47111</v>
      </c>
      <c r="O66" s="16">
        <v>0.938566552901024</v>
      </c>
      <c r="P66" s="20">
        <v>10</v>
      </c>
      <c r="Q66" s="20">
        <v>10</v>
      </c>
      <c r="R66" s="20">
        <v>0</v>
      </c>
      <c r="S66" s="16">
        <v>0</v>
      </c>
      <c r="T66" s="12">
        <v>3.992692</v>
      </c>
      <c r="U66" s="12">
        <v>5.42914</v>
      </c>
      <c r="V66" s="16">
        <v>0.966666666666667</v>
      </c>
      <c r="W66" s="20">
        <v>10</v>
      </c>
      <c r="X66" s="20">
        <v>10</v>
      </c>
      <c r="Y66" s="20">
        <v>0</v>
      </c>
      <c r="Z66" s="16">
        <v>0</v>
      </c>
      <c r="AA66" s="12">
        <v>-84.9526888359323</v>
      </c>
      <c r="AB66" s="12">
        <v>7.67434422548822</v>
      </c>
      <c r="AC66" s="16">
        <v>0.928838951310861</v>
      </c>
      <c r="AD66" s="16">
        <v>0.932584269662921</v>
      </c>
      <c r="AE66" s="12">
        <v>6.68665849087189</v>
      </c>
      <c r="AF66" s="12">
        <v>8.3232</v>
      </c>
      <c r="AG66" s="16">
        <v>0.968253968253968</v>
      </c>
      <c r="AH66" s="20">
        <v>10</v>
      </c>
      <c r="AI66" s="20">
        <v>10</v>
      </c>
      <c r="AJ66" s="20">
        <v>0</v>
      </c>
      <c r="AK66" s="16">
        <v>0</v>
      </c>
      <c r="AL66" s="12">
        <v>3.98901113936508</v>
      </c>
      <c r="AM66" s="12">
        <v>4.8644158</v>
      </c>
      <c r="AN66" s="16">
        <v>0.983333333333333</v>
      </c>
      <c r="AO66" s="20">
        <v>10</v>
      </c>
      <c r="AP66" s="20">
        <v>10</v>
      </c>
      <c r="AQ66" s="20">
        <v>0</v>
      </c>
      <c r="AR66" s="16">
        <v>0</v>
      </c>
    </row>
    <row r="67" spans="1:44">
      <c r="A67" s="3" t="s">
        <v>51</v>
      </c>
      <c r="B67" s="5" t="s">
        <v>55</v>
      </c>
      <c r="C67" s="5" t="s">
        <v>46</v>
      </c>
      <c r="D67" s="5" t="s">
        <v>53</v>
      </c>
      <c r="E67" s="33">
        <v>2</v>
      </c>
      <c r="F67" s="11" t="s">
        <v>54</v>
      </c>
      <c r="G67" s="11">
        <v>0.384569444444444</v>
      </c>
      <c r="H67" s="11" t="s">
        <v>54</v>
      </c>
      <c r="I67" s="11">
        <v>-84.8533193196427</v>
      </c>
      <c r="J67" s="11">
        <v>8.01651868385168</v>
      </c>
      <c r="K67" s="15">
        <v>1</v>
      </c>
      <c r="L67" s="15">
        <v>1</v>
      </c>
      <c r="M67" s="11">
        <v>9.50272451666667</v>
      </c>
      <c r="N67" s="11">
        <v>11.6589</v>
      </c>
      <c r="O67" s="15">
        <v>1</v>
      </c>
      <c r="P67" s="19">
        <v>10</v>
      </c>
      <c r="Q67" s="19">
        <v>10</v>
      </c>
      <c r="R67" s="19">
        <v>0</v>
      </c>
      <c r="S67" s="15">
        <v>0</v>
      </c>
      <c r="T67" s="11">
        <v>4.60872026</v>
      </c>
      <c r="U67" s="11">
        <v>6.08609</v>
      </c>
      <c r="V67" s="15">
        <v>1</v>
      </c>
      <c r="W67" s="19">
        <v>10</v>
      </c>
      <c r="X67" s="19">
        <v>10</v>
      </c>
      <c r="Y67" s="19">
        <v>0</v>
      </c>
      <c r="Z67" s="15">
        <v>0</v>
      </c>
      <c r="AA67" s="11"/>
      <c r="AB67" s="11"/>
      <c r="AC67" s="15"/>
      <c r="AD67" s="15"/>
      <c r="AE67" s="11"/>
      <c r="AF67" s="11"/>
      <c r="AG67" s="15"/>
      <c r="AH67" s="19"/>
      <c r="AI67" s="19"/>
      <c r="AJ67" s="19"/>
      <c r="AK67" s="15"/>
      <c r="AL67" s="11"/>
      <c r="AM67" s="11"/>
      <c r="AN67" s="15"/>
      <c r="AO67" s="19"/>
      <c r="AP67" s="19"/>
      <c r="AQ67" s="19"/>
      <c r="AR67" s="15"/>
    </row>
    <row r="68" spans="1:44">
      <c r="A68" s="3" t="s">
        <v>44</v>
      </c>
      <c r="B68" s="3" t="s">
        <v>59</v>
      </c>
      <c r="C68" s="4" t="s">
        <v>46</v>
      </c>
      <c r="D68" s="5" t="s">
        <v>53</v>
      </c>
      <c r="E68" s="29">
        <v>3</v>
      </c>
      <c r="F68" s="10"/>
      <c r="G68" s="10">
        <v>0.237</v>
      </c>
      <c r="H68" s="10"/>
      <c r="I68" s="10">
        <v>-84.731669820246</v>
      </c>
      <c r="J68" s="10">
        <v>8.90471901608326</v>
      </c>
      <c r="K68" s="14">
        <v>0.997871333964049</v>
      </c>
      <c r="L68" s="14">
        <v>0.997871333964049</v>
      </c>
      <c r="M68" s="10">
        <v>7.61093442622951</v>
      </c>
      <c r="N68" s="10">
        <v>9.6380005</v>
      </c>
      <c r="O68" s="14">
        <v>0.99344262295082</v>
      </c>
      <c r="P68" s="18">
        <v>10</v>
      </c>
      <c r="Q68" s="18">
        <v>10</v>
      </c>
      <c r="R68" s="18">
        <v>0</v>
      </c>
      <c r="S68" s="14">
        <v>0</v>
      </c>
      <c r="T68" s="10">
        <v>4.74276666666667</v>
      </c>
      <c r="U68" s="10">
        <v>5.949</v>
      </c>
      <c r="V68" s="14">
        <v>0.993333333333333</v>
      </c>
      <c r="W68" s="18">
        <v>10</v>
      </c>
      <c r="X68" s="18">
        <v>10</v>
      </c>
      <c r="Y68" s="18">
        <v>0</v>
      </c>
      <c r="Z68" s="14">
        <v>0</v>
      </c>
      <c r="AA68" s="10"/>
      <c r="AB68" s="10"/>
      <c r="AC68" s="14"/>
      <c r="AD68" s="14"/>
      <c r="AE68" s="10"/>
      <c r="AF68" s="10"/>
      <c r="AG68" s="14"/>
      <c r="AH68" s="18"/>
      <c r="AI68" s="18"/>
      <c r="AJ68" s="18"/>
      <c r="AK68" s="14"/>
      <c r="AL68" s="10"/>
      <c r="AM68" s="10"/>
      <c r="AN68" s="14"/>
      <c r="AO68" s="18"/>
      <c r="AP68" s="18"/>
      <c r="AQ68" s="18"/>
      <c r="AR68" s="14"/>
    </row>
    <row r="69" spans="1:44">
      <c r="A69" s="3" t="s">
        <v>51</v>
      </c>
      <c r="B69" s="5" t="s">
        <v>63</v>
      </c>
      <c r="C69" s="5" t="s">
        <v>46</v>
      </c>
      <c r="D69" s="5" t="s">
        <v>53</v>
      </c>
      <c r="E69" s="31">
        <v>3</v>
      </c>
      <c r="F69" s="11"/>
      <c r="G69" s="11">
        <v>0.370802777777778</v>
      </c>
      <c r="H69" s="11" t="s">
        <v>54</v>
      </c>
      <c r="I69" s="11">
        <v>-84.6765443029312</v>
      </c>
      <c r="J69" s="11">
        <v>5.09774287258551</v>
      </c>
      <c r="K69" s="15">
        <v>0.999849759615385</v>
      </c>
      <c r="L69" s="15">
        <v>0.999849759615385</v>
      </c>
      <c r="M69" s="11">
        <v>7.32062689333333</v>
      </c>
      <c r="N69" s="11">
        <v>9.63968</v>
      </c>
      <c r="O69" s="15">
        <v>0.98</v>
      </c>
      <c r="P69" s="19">
        <v>10</v>
      </c>
      <c r="Q69" s="19">
        <v>10</v>
      </c>
      <c r="R69" s="19">
        <v>0</v>
      </c>
      <c r="S69" s="15">
        <v>0</v>
      </c>
      <c r="T69" s="11">
        <v>4.05738836666667</v>
      </c>
      <c r="U69" s="11">
        <v>5.46734</v>
      </c>
      <c r="V69" s="15">
        <v>0.99</v>
      </c>
      <c r="W69" s="19">
        <v>10</v>
      </c>
      <c r="X69" s="19">
        <v>10</v>
      </c>
      <c r="Y69" s="19">
        <v>0</v>
      </c>
      <c r="Z69" s="15">
        <v>0</v>
      </c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</row>
    <row r="70" spans="1:44">
      <c r="A70" s="3" t="s">
        <v>51</v>
      </c>
      <c r="B70" s="6" t="s">
        <v>55</v>
      </c>
      <c r="C70" s="6" t="s">
        <v>49</v>
      </c>
      <c r="D70" s="6" t="s">
        <v>61</v>
      </c>
      <c r="E70" s="31">
        <v>3</v>
      </c>
      <c r="F70" s="11">
        <v>1.66221134400368</v>
      </c>
      <c r="G70" s="11">
        <v>0.349138888888889</v>
      </c>
      <c r="H70" s="11">
        <v>4.76088856584711</v>
      </c>
      <c r="I70" s="11">
        <v>-84.5879769810331</v>
      </c>
      <c r="J70" s="11">
        <v>15.4990507518023</v>
      </c>
      <c r="K70" s="15">
        <v>0.982405630198336</v>
      </c>
      <c r="L70" s="15">
        <v>0.999840051183621</v>
      </c>
      <c r="M70" s="11">
        <v>9.36409641111111</v>
      </c>
      <c r="N70" s="11">
        <v>10.1263</v>
      </c>
      <c r="O70" s="15">
        <v>1</v>
      </c>
      <c r="P70" s="19">
        <v>9</v>
      </c>
      <c r="Q70" s="19">
        <v>9</v>
      </c>
      <c r="R70" s="19">
        <v>0</v>
      </c>
      <c r="S70" s="15">
        <v>0</v>
      </c>
      <c r="T70" s="11">
        <v>4.26521587591241</v>
      </c>
      <c r="U70" s="11">
        <v>5.13026</v>
      </c>
      <c r="V70" s="15">
        <v>1</v>
      </c>
      <c r="W70" s="19">
        <v>10</v>
      </c>
      <c r="X70" s="19">
        <v>10</v>
      </c>
      <c r="Y70" s="19">
        <v>0</v>
      </c>
      <c r="Z70" s="15">
        <v>0</v>
      </c>
      <c r="AA70" s="11">
        <v>-84.9457648469138</v>
      </c>
      <c r="AB70" s="11">
        <v>15.3895965332017</v>
      </c>
      <c r="AC70" s="15">
        <v>1</v>
      </c>
      <c r="AD70" s="15">
        <v>1</v>
      </c>
      <c r="AE70" s="11">
        <v>9.24468784261876</v>
      </c>
      <c r="AF70" s="11">
        <v>10.029571375</v>
      </c>
      <c r="AG70" s="15">
        <v>1</v>
      </c>
      <c r="AH70" s="19">
        <v>9</v>
      </c>
      <c r="AI70" s="19">
        <v>9</v>
      </c>
      <c r="AJ70" s="19">
        <v>0</v>
      </c>
      <c r="AK70" s="15">
        <v>0</v>
      </c>
      <c r="AL70" s="11">
        <v>4.2378626014513</v>
      </c>
      <c r="AM70" s="11">
        <v>4.899756</v>
      </c>
      <c r="AN70" s="15">
        <v>1</v>
      </c>
      <c r="AO70" s="19">
        <v>10</v>
      </c>
      <c r="AP70" s="19">
        <v>10</v>
      </c>
      <c r="AQ70" s="19">
        <v>0</v>
      </c>
      <c r="AR70" s="15">
        <v>0</v>
      </c>
    </row>
    <row r="71" spans="1:44">
      <c r="A71" s="3" t="s">
        <v>44</v>
      </c>
      <c r="B71" s="3" t="s">
        <v>56</v>
      </c>
      <c r="C71" s="4" t="s">
        <v>49</v>
      </c>
      <c r="D71" s="5" t="s">
        <v>61</v>
      </c>
      <c r="E71" s="29">
        <v>1</v>
      </c>
      <c r="F71" s="10">
        <v>6.101</v>
      </c>
      <c r="G71" s="10">
        <v>0.576</v>
      </c>
      <c r="H71" s="10">
        <v>10.5920138888889</v>
      </c>
      <c r="I71" s="10">
        <v>-84.5640357420357</v>
      </c>
      <c r="J71" s="10">
        <v>10.153472027972</v>
      </c>
      <c r="K71" s="14">
        <v>0.942016317016317</v>
      </c>
      <c r="L71" s="14">
        <v>0.943667443667444</v>
      </c>
      <c r="M71" s="10">
        <v>6.35165258855586</v>
      </c>
      <c r="N71" s="10">
        <v>8.5</v>
      </c>
      <c r="O71" s="14">
        <v>0.946866485013624</v>
      </c>
      <c r="P71" s="18">
        <v>24</v>
      </c>
      <c r="Q71" s="18">
        <v>24</v>
      </c>
      <c r="R71" s="18">
        <v>0</v>
      </c>
      <c r="S71" s="14">
        <v>0</v>
      </c>
      <c r="T71" s="10">
        <v>3.38137206085754</v>
      </c>
      <c r="U71" s="10">
        <v>5.338</v>
      </c>
      <c r="V71" s="14">
        <v>0.9432918395574</v>
      </c>
      <c r="W71" s="18">
        <v>24</v>
      </c>
      <c r="X71" s="18">
        <v>24</v>
      </c>
      <c r="Y71" s="18">
        <v>0</v>
      </c>
      <c r="Z71" s="14">
        <v>0</v>
      </c>
      <c r="AA71" s="10">
        <v>-84.9435671232877</v>
      </c>
      <c r="AB71" s="10">
        <v>9.64836438356164</v>
      </c>
      <c r="AC71" s="14">
        <v>0.945205479452055</v>
      </c>
      <c r="AD71" s="14">
        <v>0.945205479452055</v>
      </c>
      <c r="AE71" s="10">
        <v>6.02217692307692</v>
      </c>
      <c r="AF71" s="10">
        <v>7.576</v>
      </c>
      <c r="AG71" s="14">
        <v>0.961538461538462</v>
      </c>
      <c r="AH71" s="18">
        <v>24</v>
      </c>
      <c r="AI71" s="18">
        <v>24</v>
      </c>
      <c r="AJ71" s="18">
        <v>0</v>
      </c>
      <c r="AK71" s="14">
        <v>0</v>
      </c>
      <c r="AL71" s="10">
        <v>3.25811627906977</v>
      </c>
      <c r="AM71" s="10">
        <v>4.478</v>
      </c>
      <c r="AN71" s="14">
        <v>0.984496124031008</v>
      </c>
      <c r="AO71" s="18">
        <v>24</v>
      </c>
      <c r="AP71" s="18">
        <v>24</v>
      </c>
      <c r="AQ71" s="18">
        <v>0</v>
      </c>
      <c r="AR71" s="14">
        <v>0</v>
      </c>
    </row>
    <row r="72" spans="1:44">
      <c r="A72" s="3" t="s">
        <v>44</v>
      </c>
      <c r="B72" s="7" t="s">
        <v>60</v>
      </c>
      <c r="C72" s="4" t="s">
        <v>46</v>
      </c>
      <c r="D72" s="5" t="s">
        <v>47</v>
      </c>
      <c r="E72" s="29">
        <v>2</v>
      </c>
      <c r="F72" s="10"/>
      <c r="G72" s="10">
        <v>0.267</v>
      </c>
      <c r="H72" s="10"/>
      <c r="I72" s="10">
        <v>-84.441956731779</v>
      </c>
      <c r="J72" s="10">
        <v>2.8441081705524</v>
      </c>
      <c r="K72" s="14">
        <v>0.969124133585381</v>
      </c>
      <c r="L72" s="14">
        <v>0.969124133585381</v>
      </c>
      <c r="M72" s="10">
        <v>6.27528712871287</v>
      </c>
      <c r="N72" s="10">
        <v>8.199</v>
      </c>
      <c r="O72" s="14">
        <v>0.953795379537954</v>
      </c>
      <c r="P72" s="18">
        <v>10</v>
      </c>
      <c r="Q72" s="18">
        <v>10</v>
      </c>
      <c r="R72" s="18">
        <v>0</v>
      </c>
      <c r="S72" s="14">
        <v>0</v>
      </c>
      <c r="T72" s="10">
        <v>4.38312</v>
      </c>
      <c r="U72" s="10">
        <v>5.668</v>
      </c>
      <c r="V72" s="14">
        <v>0.98</v>
      </c>
      <c r="W72" s="18">
        <v>10</v>
      </c>
      <c r="X72" s="18">
        <v>10</v>
      </c>
      <c r="Y72" s="18">
        <v>0</v>
      </c>
      <c r="Z72" s="14">
        <v>0</v>
      </c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</row>
    <row r="73" spans="1:44">
      <c r="A73" s="3" t="s">
        <v>51</v>
      </c>
      <c r="B73" s="4" t="s">
        <v>62</v>
      </c>
      <c r="C73" s="4" t="s">
        <v>49</v>
      </c>
      <c r="D73" s="4" t="s">
        <v>50</v>
      </c>
      <c r="E73" s="30">
        <v>1</v>
      </c>
      <c r="F73" s="11">
        <v>2.17412685996294</v>
      </c>
      <c r="G73" s="11">
        <v>0</v>
      </c>
      <c r="H73" s="11" t="s">
        <v>54</v>
      </c>
      <c r="I73" s="11">
        <v>-84.3592338939663</v>
      </c>
      <c r="J73" s="11">
        <v>9.90179647468297</v>
      </c>
      <c r="K73" s="15">
        <v>0.90320096799032</v>
      </c>
      <c r="L73" s="15">
        <v>0.915520844791552</v>
      </c>
      <c r="M73" s="11">
        <v>4.86782748648649</v>
      </c>
      <c r="N73" s="11">
        <v>7.37827</v>
      </c>
      <c r="O73" s="15">
        <v>0.874692874692875</v>
      </c>
      <c r="P73" s="19">
        <v>14</v>
      </c>
      <c r="Q73" s="19">
        <v>14</v>
      </c>
      <c r="R73" s="19">
        <v>0</v>
      </c>
      <c r="S73" s="15">
        <v>0</v>
      </c>
      <c r="T73" s="11">
        <v>2.30577356190476</v>
      </c>
      <c r="U73" s="11">
        <v>4.8</v>
      </c>
      <c r="V73" s="15">
        <v>0.752380952380952</v>
      </c>
      <c r="W73" s="19">
        <v>14</v>
      </c>
      <c r="X73" s="19">
        <v>14</v>
      </c>
      <c r="Y73" s="19">
        <v>0</v>
      </c>
      <c r="Z73" s="15">
        <v>0</v>
      </c>
      <c r="AA73" s="11">
        <v>-86.621905889888</v>
      </c>
      <c r="AB73" s="11">
        <v>9.18687559347925</v>
      </c>
      <c r="AC73" s="15">
        <v>0.957446808510638</v>
      </c>
      <c r="AD73" s="15">
        <v>0.957446808510638</v>
      </c>
      <c r="AE73" s="11">
        <v>4.82130642493856</v>
      </c>
      <c r="AF73" s="11">
        <v>7.24101909523809</v>
      </c>
      <c r="AG73" s="15">
        <v>1</v>
      </c>
      <c r="AH73" s="19">
        <v>14</v>
      </c>
      <c r="AI73" s="19">
        <v>14</v>
      </c>
      <c r="AJ73" s="19">
        <v>0</v>
      </c>
      <c r="AK73" s="15">
        <v>0</v>
      </c>
      <c r="AL73" s="11">
        <v>2.28668482210785</v>
      </c>
      <c r="AM73" s="11">
        <v>4.18909381818182</v>
      </c>
      <c r="AN73" s="15">
        <v>0.882352941176471</v>
      </c>
      <c r="AO73" s="19">
        <v>14</v>
      </c>
      <c r="AP73" s="19">
        <v>14</v>
      </c>
      <c r="AQ73" s="19">
        <v>0</v>
      </c>
      <c r="AR73" s="15">
        <v>0</v>
      </c>
    </row>
    <row r="74" spans="1:44">
      <c r="A74" s="3" t="s">
        <v>44</v>
      </c>
      <c r="B74" s="3" t="s">
        <v>45</v>
      </c>
      <c r="C74" s="8" t="s">
        <v>49</v>
      </c>
      <c r="D74" s="5" t="s">
        <v>50</v>
      </c>
      <c r="E74" s="29">
        <v>2</v>
      </c>
      <c r="F74" s="10">
        <v>2.794</v>
      </c>
      <c r="G74" s="10">
        <v>0.973</v>
      </c>
      <c r="H74" s="10">
        <v>2.87153134635149</v>
      </c>
      <c r="I74" s="10">
        <v>-84.2987062295834</v>
      </c>
      <c r="J74" s="10">
        <v>5.33863241446501</v>
      </c>
      <c r="K74" s="14">
        <v>0.896269127170611</v>
      </c>
      <c r="L74" s="14">
        <v>0.897644564158405</v>
      </c>
      <c r="M74" s="10">
        <v>7.86893344025662</v>
      </c>
      <c r="N74" s="10">
        <v>9.79</v>
      </c>
      <c r="O74" s="14">
        <v>0.973536487570168</v>
      </c>
      <c r="P74" s="18">
        <v>41</v>
      </c>
      <c r="Q74" s="18">
        <v>41</v>
      </c>
      <c r="R74" s="18">
        <v>0</v>
      </c>
      <c r="S74" s="14">
        <v>0</v>
      </c>
      <c r="T74" s="10">
        <v>4.87680390561432</v>
      </c>
      <c r="U74" s="10">
        <v>5.854</v>
      </c>
      <c r="V74" s="14">
        <v>0.997558991049634</v>
      </c>
      <c r="W74" s="18">
        <v>41</v>
      </c>
      <c r="X74" s="18">
        <v>41</v>
      </c>
      <c r="Y74" s="18">
        <v>0</v>
      </c>
      <c r="Z74" s="14">
        <v>0</v>
      </c>
      <c r="AA74" s="10">
        <v>-83.6517317073171</v>
      </c>
      <c r="AB74" s="10">
        <v>6.1375512195122</v>
      </c>
      <c r="AC74" s="14">
        <v>0.951219512195122</v>
      </c>
      <c r="AD74" s="14">
        <v>0.951219512195122</v>
      </c>
      <c r="AE74" s="10">
        <v>7.84028571428571</v>
      </c>
      <c r="AF74" s="10">
        <v>9.665</v>
      </c>
      <c r="AG74" s="14">
        <v>1</v>
      </c>
      <c r="AH74" s="18">
        <v>41</v>
      </c>
      <c r="AI74" s="18">
        <v>41</v>
      </c>
      <c r="AJ74" s="18">
        <v>0</v>
      </c>
      <c r="AK74" s="14">
        <v>0</v>
      </c>
      <c r="AL74" s="10">
        <v>4.82547126436782</v>
      </c>
      <c r="AM74" s="10">
        <v>5.238</v>
      </c>
      <c r="AN74" s="14">
        <v>1</v>
      </c>
      <c r="AO74" s="18">
        <v>41</v>
      </c>
      <c r="AP74" s="18">
        <v>41</v>
      </c>
      <c r="AQ74" s="18">
        <v>0</v>
      </c>
      <c r="AR74" s="14">
        <v>0</v>
      </c>
    </row>
    <row r="75" spans="1:44">
      <c r="A75" s="3" t="s">
        <v>44</v>
      </c>
      <c r="B75" s="7" t="s">
        <v>60</v>
      </c>
      <c r="C75" s="4" t="s">
        <v>49</v>
      </c>
      <c r="D75" s="5" t="s">
        <v>50</v>
      </c>
      <c r="E75" s="29">
        <v>2</v>
      </c>
      <c r="F75" s="10">
        <v>6.053</v>
      </c>
      <c r="G75" s="10">
        <v>0.64</v>
      </c>
      <c r="H75" s="10">
        <v>9.4578125</v>
      </c>
      <c r="I75" s="10">
        <v>-84.0761910983364</v>
      </c>
      <c r="J75" s="10">
        <v>11.1913555439422</v>
      </c>
      <c r="K75" s="14">
        <v>0.973956972389165</v>
      </c>
      <c r="L75" s="14">
        <v>0.974305374096333</v>
      </c>
      <c r="M75" s="10">
        <v>8.98266707168894</v>
      </c>
      <c r="N75" s="10">
        <v>10.498</v>
      </c>
      <c r="O75" s="14">
        <v>0.996354799513973</v>
      </c>
      <c r="P75" s="18">
        <v>27</v>
      </c>
      <c r="Q75" s="18">
        <v>27</v>
      </c>
      <c r="R75" s="18">
        <v>0</v>
      </c>
      <c r="S75" s="14">
        <v>0</v>
      </c>
      <c r="T75" s="10">
        <v>4.3131962962963</v>
      </c>
      <c r="U75" s="10">
        <v>5.868</v>
      </c>
      <c r="V75" s="14">
        <v>0.94320987654321</v>
      </c>
      <c r="W75" s="18">
        <v>27</v>
      </c>
      <c r="X75" s="18">
        <v>27</v>
      </c>
      <c r="Y75" s="18">
        <v>0</v>
      </c>
      <c r="Z75" s="14">
        <v>0</v>
      </c>
      <c r="AA75" s="10">
        <v>-84.2655421348315</v>
      </c>
      <c r="AB75" s="10">
        <v>11.0552668539326</v>
      </c>
      <c r="AC75" s="14">
        <v>0.97752808988764</v>
      </c>
      <c r="AD75" s="14">
        <v>0.97752808988764</v>
      </c>
      <c r="AE75" s="10">
        <v>8.58770992366412</v>
      </c>
      <c r="AF75" s="10">
        <v>9.854</v>
      </c>
      <c r="AG75" s="14">
        <v>1</v>
      </c>
      <c r="AH75" s="18">
        <v>27</v>
      </c>
      <c r="AI75" s="18">
        <v>27</v>
      </c>
      <c r="AJ75" s="18">
        <v>0</v>
      </c>
      <c r="AK75" s="14">
        <v>0</v>
      </c>
      <c r="AL75" s="10">
        <v>4.10836641221374</v>
      </c>
      <c r="AM75" s="10">
        <v>5.301</v>
      </c>
      <c r="AN75" s="14">
        <v>0.984732824427481</v>
      </c>
      <c r="AO75" s="18">
        <v>27</v>
      </c>
      <c r="AP75" s="18">
        <v>27</v>
      </c>
      <c r="AQ75" s="18">
        <v>0</v>
      </c>
      <c r="AR75" s="14">
        <v>0</v>
      </c>
    </row>
    <row r="76" spans="1:44">
      <c r="A76" s="3" t="s">
        <v>51</v>
      </c>
      <c r="B76" s="6" t="s">
        <v>55</v>
      </c>
      <c r="C76" s="6" t="s">
        <v>49</v>
      </c>
      <c r="D76" s="6" t="s">
        <v>50</v>
      </c>
      <c r="E76" s="32">
        <v>2</v>
      </c>
      <c r="F76" s="11">
        <v>2.08666555297375</v>
      </c>
      <c r="G76" s="11">
        <v>0.564327777777778</v>
      </c>
      <c r="H76" s="11">
        <v>3.69761269096245</v>
      </c>
      <c r="I76" s="11">
        <v>-84.0601728044707</v>
      </c>
      <c r="J76" s="11">
        <v>12.6879949620183</v>
      </c>
      <c r="K76" s="15">
        <v>0.955013872374158</v>
      </c>
      <c r="L76" s="15">
        <v>0.964625445897741</v>
      </c>
      <c r="M76" s="11">
        <v>7.49600844444444</v>
      </c>
      <c r="N76" s="11">
        <v>10.1302</v>
      </c>
      <c r="O76" s="15">
        <v>0.922222222222222</v>
      </c>
      <c r="P76" s="19">
        <v>15</v>
      </c>
      <c r="Q76" s="19">
        <v>15</v>
      </c>
      <c r="R76" s="19">
        <v>0</v>
      </c>
      <c r="S76" s="15">
        <v>0</v>
      </c>
      <c r="T76" s="11">
        <v>4.07266688235294</v>
      </c>
      <c r="U76" s="11">
        <v>5.44</v>
      </c>
      <c r="V76" s="15">
        <v>0.995475113122172</v>
      </c>
      <c r="W76" s="19">
        <v>15</v>
      </c>
      <c r="X76" s="19">
        <v>15</v>
      </c>
      <c r="Y76" s="19">
        <v>0</v>
      </c>
      <c r="Z76" s="15">
        <v>0</v>
      </c>
      <c r="AA76" s="11">
        <v>-84.6168010562414</v>
      </c>
      <c r="AB76" s="11">
        <v>11.7659934667667</v>
      </c>
      <c r="AC76" s="15">
        <v>0.951219512195122</v>
      </c>
      <c r="AD76" s="15">
        <v>0.98780487804878</v>
      </c>
      <c r="AE76" s="11">
        <v>7.79073977772937</v>
      </c>
      <c r="AF76" s="11">
        <v>9.93207968965517</v>
      </c>
      <c r="AG76" s="15">
        <v>0.96969696969697</v>
      </c>
      <c r="AH76" s="19">
        <v>15</v>
      </c>
      <c r="AI76" s="19">
        <v>15</v>
      </c>
      <c r="AJ76" s="19">
        <v>0</v>
      </c>
      <c r="AK76" s="15">
        <v>0</v>
      </c>
      <c r="AL76" s="11">
        <v>4.15266111727535</v>
      </c>
      <c r="AM76" s="11">
        <v>4.76609933333333</v>
      </c>
      <c r="AN76" s="15">
        <v>1</v>
      </c>
      <c r="AO76" s="19">
        <v>15</v>
      </c>
      <c r="AP76" s="19">
        <v>15</v>
      </c>
      <c r="AQ76" s="19">
        <v>0</v>
      </c>
      <c r="AR76" s="15">
        <v>0</v>
      </c>
    </row>
    <row r="77" spans="1:44">
      <c r="A77" s="3" t="s">
        <v>44</v>
      </c>
      <c r="B77" s="7" t="s">
        <v>60</v>
      </c>
      <c r="C77" s="4" t="s">
        <v>49</v>
      </c>
      <c r="D77" s="5" t="s">
        <v>50</v>
      </c>
      <c r="E77" s="29">
        <v>3</v>
      </c>
      <c r="F77" s="10">
        <v>2.509</v>
      </c>
      <c r="G77" s="10">
        <v>0.522</v>
      </c>
      <c r="H77" s="10">
        <v>4.80651340996169</v>
      </c>
      <c r="I77" s="10">
        <v>-83.742744941427</v>
      </c>
      <c r="J77" s="10">
        <v>7.20038849840256</v>
      </c>
      <c r="K77" s="14">
        <v>0.955591054313099</v>
      </c>
      <c r="L77" s="14">
        <v>0.95580404685836</v>
      </c>
      <c r="M77" s="10">
        <v>8.07382634730539</v>
      </c>
      <c r="N77" s="10">
        <v>9.662</v>
      </c>
      <c r="O77" s="14">
        <v>0.991017964071856</v>
      </c>
      <c r="P77" s="18">
        <v>22</v>
      </c>
      <c r="Q77" s="18">
        <v>22</v>
      </c>
      <c r="R77" s="18">
        <v>0</v>
      </c>
      <c r="S77" s="14">
        <v>0</v>
      </c>
      <c r="T77" s="10">
        <v>4.70721515151515</v>
      </c>
      <c r="U77" s="10">
        <v>5.981</v>
      </c>
      <c r="V77" s="14">
        <v>0.984848484848485</v>
      </c>
      <c r="W77" s="18">
        <v>22</v>
      </c>
      <c r="X77" s="18">
        <v>22</v>
      </c>
      <c r="Y77" s="18">
        <v>0</v>
      </c>
      <c r="Z77" s="14">
        <v>0</v>
      </c>
      <c r="AA77" s="10">
        <v>-83.92754375</v>
      </c>
      <c r="AB77" s="10">
        <v>6.8717125</v>
      </c>
      <c r="AC77" s="14">
        <v>0.96875</v>
      </c>
      <c r="AD77" s="14">
        <v>0.96875</v>
      </c>
      <c r="AE77" s="10">
        <v>7.82818644067797</v>
      </c>
      <c r="AF77" s="10">
        <v>9.408</v>
      </c>
      <c r="AG77" s="14">
        <v>1</v>
      </c>
      <c r="AH77" s="18">
        <v>22</v>
      </c>
      <c r="AI77" s="18">
        <v>22</v>
      </c>
      <c r="AJ77" s="18">
        <v>0</v>
      </c>
      <c r="AK77" s="14">
        <v>0</v>
      </c>
      <c r="AL77" s="10">
        <v>4.74663333333333</v>
      </c>
      <c r="AM77" s="10">
        <v>5.201</v>
      </c>
      <c r="AN77" s="14">
        <v>1</v>
      </c>
      <c r="AO77" s="18">
        <v>22</v>
      </c>
      <c r="AP77" s="18">
        <v>22</v>
      </c>
      <c r="AQ77" s="18">
        <v>0</v>
      </c>
      <c r="AR77" s="14">
        <v>0</v>
      </c>
    </row>
    <row r="78" spans="1:44">
      <c r="A78" s="3" t="s">
        <v>44</v>
      </c>
      <c r="B78" s="3" t="s">
        <v>56</v>
      </c>
      <c r="C78" s="4" t="s">
        <v>46</v>
      </c>
      <c r="D78" s="5" t="s">
        <v>47</v>
      </c>
      <c r="E78" s="29">
        <v>3</v>
      </c>
      <c r="F78" s="10"/>
      <c r="G78" s="10">
        <v>0.245</v>
      </c>
      <c r="H78" s="10"/>
      <c r="I78" s="10">
        <v>-83.7144950396825</v>
      </c>
      <c r="J78" s="10">
        <v>7.04278273809524</v>
      </c>
      <c r="K78" s="14">
        <v>0.997519841269841</v>
      </c>
      <c r="L78" s="14">
        <v>0.997519841269841</v>
      </c>
      <c r="M78" s="10">
        <v>7.37850819672131</v>
      </c>
      <c r="N78" s="10">
        <v>9.768</v>
      </c>
      <c r="O78" s="14">
        <v>0.970491803278689</v>
      </c>
      <c r="P78" s="18">
        <v>10</v>
      </c>
      <c r="Q78" s="18">
        <v>10</v>
      </c>
      <c r="R78" s="18">
        <v>0</v>
      </c>
      <c r="S78" s="14">
        <v>0</v>
      </c>
      <c r="T78" s="10">
        <v>4.76797342192691</v>
      </c>
      <c r="U78" s="10">
        <v>5.74</v>
      </c>
      <c r="V78" s="14">
        <v>1</v>
      </c>
      <c r="W78" s="18">
        <v>10</v>
      </c>
      <c r="X78" s="18">
        <v>10</v>
      </c>
      <c r="Y78" s="18">
        <v>0</v>
      </c>
      <c r="Z78" s="14">
        <v>0</v>
      </c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</row>
    <row r="79" spans="1:44">
      <c r="A79" s="3" t="s">
        <v>51</v>
      </c>
      <c r="B79" s="5" t="s">
        <v>55</v>
      </c>
      <c r="C79" s="5" t="s">
        <v>49</v>
      </c>
      <c r="D79" s="5" t="s">
        <v>50</v>
      </c>
      <c r="E79" s="33">
        <v>2</v>
      </c>
      <c r="F79" s="11">
        <v>2.14353608834744</v>
      </c>
      <c r="G79" s="11">
        <v>0.539341666666667</v>
      </c>
      <c r="H79" s="11">
        <v>3.97435655508555</v>
      </c>
      <c r="I79" s="11">
        <v>-83.6288798410463</v>
      </c>
      <c r="J79" s="11">
        <v>11.5256660330567</v>
      </c>
      <c r="K79" s="15">
        <v>0.914931278633903</v>
      </c>
      <c r="L79" s="15">
        <v>0.931070387338609</v>
      </c>
      <c r="M79" s="11">
        <v>8.25966429306488</v>
      </c>
      <c r="N79" s="11">
        <v>10.0906</v>
      </c>
      <c r="O79" s="15">
        <v>0.955257270693512</v>
      </c>
      <c r="P79" s="19">
        <v>15</v>
      </c>
      <c r="Q79" s="19">
        <v>15</v>
      </c>
      <c r="R79" s="19">
        <v>0</v>
      </c>
      <c r="S79" s="15">
        <v>0</v>
      </c>
      <c r="T79" s="11">
        <v>4.53594487142857</v>
      </c>
      <c r="U79" s="11">
        <v>5.76577</v>
      </c>
      <c r="V79" s="15">
        <v>0.997619047619048</v>
      </c>
      <c r="W79" s="19">
        <v>14</v>
      </c>
      <c r="X79" s="19">
        <v>14</v>
      </c>
      <c r="Y79" s="19">
        <v>0</v>
      </c>
      <c r="Z79" s="15">
        <v>0</v>
      </c>
      <c r="AA79" s="11">
        <v>-82.8646217497476</v>
      </c>
      <c r="AB79" s="11">
        <v>12.0601084055172</v>
      </c>
      <c r="AC79" s="15">
        <v>0.921348314606742</v>
      </c>
      <c r="AD79" s="15">
        <v>0.943820224719101</v>
      </c>
      <c r="AE79" s="11">
        <v>8.32929085724178</v>
      </c>
      <c r="AF79" s="11">
        <v>9.99164525</v>
      </c>
      <c r="AG79" s="15">
        <v>0.970588235294118</v>
      </c>
      <c r="AH79" s="19">
        <v>15</v>
      </c>
      <c r="AI79" s="19">
        <v>15</v>
      </c>
      <c r="AJ79" s="19">
        <v>0</v>
      </c>
      <c r="AK79" s="15">
        <v>0</v>
      </c>
      <c r="AL79" s="11">
        <v>4.49447413052292</v>
      </c>
      <c r="AM79" s="11">
        <v>4.88840981818182</v>
      </c>
      <c r="AN79" s="15">
        <v>1</v>
      </c>
      <c r="AO79" s="19">
        <v>14</v>
      </c>
      <c r="AP79" s="19">
        <v>14</v>
      </c>
      <c r="AQ79" s="19">
        <v>0</v>
      </c>
      <c r="AR79" s="15">
        <v>0</v>
      </c>
    </row>
    <row r="80" spans="1:44">
      <c r="A80" s="3" t="s">
        <v>44</v>
      </c>
      <c r="B80" s="3" t="s">
        <v>48</v>
      </c>
      <c r="C80" s="4" t="s">
        <v>49</v>
      </c>
      <c r="D80" s="5" t="s">
        <v>50</v>
      </c>
      <c r="E80" s="29">
        <v>3</v>
      </c>
      <c r="F80" s="10">
        <v>2.785</v>
      </c>
      <c r="G80" s="10">
        <v>0.674</v>
      </c>
      <c r="H80" s="10">
        <v>4.13204747774481</v>
      </c>
      <c r="I80" s="10">
        <v>-83.5341778484189</v>
      </c>
      <c r="J80" s="10">
        <v>10.369440940271</v>
      </c>
      <c r="K80" s="14">
        <v>0.960264346662205</v>
      </c>
      <c r="L80" s="14">
        <v>0.969215325414087</v>
      </c>
      <c r="M80" s="10">
        <v>7.66361188369153</v>
      </c>
      <c r="N80" s="10">
        <v>9.543</v>
      </c>
      <c r="O80" s="14">
        <v>0.988621997471555</v>
      </c>
      <c r="P80" s="18">
        <v>26</v>
      </c>
      <c r="Q80" s="18">
        <v>26</v>
      </c>
      <c r="R80" s="18">
        <v>0</v>
      </c>
      <c r="S80" s="14">
        <v>0</v>
      </c>
      <c r="T80" s="10">
        <v>4.71709974424552</v>
      </c>
      <c r="U80" s="10">
        <v>5.783</v>
      </c>
      <c r="V80" s="14">
        <v>0.99616368286445</v>
      </c>
      <c r="W80" s="18">
        <v>26</v>
      </c>
      <c r="X80" s="18">
        <v>26</v>
      </c>
      <c r="Y80" s="18">
        <v>0</v>
      </c>
      <c r="Z80" s="14">
        <v>0</v>
      </c>
      <c r="AA80" s="10">
        <v>-82.984</v>
      </c>
      <c r="AB80" s="10">
        <v>10.6585027322404</v>
      </c>
      <c r="AC80" s="14">
        <v>0.994535519125683</v>
      </c>
      <c r="AD80" s="14">
        <v>0.994535519125683</v>
      </c>
      <c r="AE80" s="10">
        <v>7.8611746031746</v>
      </c>
      <c r="AF80" s="10">
        <v>9.292</v>
      </c>
      <c r="AG80" s="14">
        <v>1</v>
      </c>
      <c r="AH80" s="18">
        <v>26</v>
      </c>
      <c r="AI80" s="18">
        <v>26</v>
      </c>
      <c r="AJ80" s="18">
        <v>0</v>
      </c>
      <c r="AK80" s="14">
        <v>0</v>
      </c>
      <c r="AL80" s="10">
        <v>4.82146031746032</v>
      </c>
      <c r="AM80" s="10">
        <v>5.233</v>
      </c>
      <c r="AN80" s="14">
        <v>1</v>
      </c>
      <c r="AO80" s="18">
        <v>26</v>
      </c>
      <c r="AP80" s="18">
        <v>26</v>
      </c>
      <c r="AQ80" s="18">
        <v>0</v>
      </c>
      <c r="AR80" s="14">
        <v>0</v>
      </c>
    </row>
    <row r="81" spans="1:44">
      <c r="A81" s="3" t="s">
        <v>51</v>
      </c>
      <c r="B81" s="6" t="s">
        <v>52</v>
      </c>
      <c r="C81" s="6" t="s">
        <v>46</v>
      </c>
      <c r="D81" s="6" t="s">
        <v>57</v>
      </c>
      <c r="E81" s="30">
        <v>1</v>
      </c>
      <c r="F81" s="11" t="s">
        <v>54</v>
      </c>
      <c r="G81" s="11">
        <v>0.436238888888889</v>
      </c>
      <c r="H81" s="11" t="s">
        <v>54</v>
      </c>
      <c r="I81" s="11">
        <v>-83.5235909876384</v>
      </c>
      <c r="J81" s="11">
        <v>9.79211838376683</v>
      </c>
      <c r="K81" s="15">
        <v>1</v>
      </c>
      <c r="L81" s="15">
        <v>1</v>
      </c>
      <c r="M81" s="11">
        <v>8.90565140333333</v>
      </c>
      <c r="N81" s="11">
        <v>9.58941</v>
      </c>
      <c r="O81" s="15">
        <v>1</v>
      </c>
      <c r="P81" s="19">
        <v>10</v>
      </c>
      <c r="Q81" s="19">
        <v>10</v>
      </c>
      <c r="R81" s="19">
        <v>0</v>
      </c>
      <c r="S81" s="15">
        <v>0</v>
      </c>
      <c r="T81" s="11">
        <v>4.65897152333333</v>
      </c>
      <c r="U81" s="11">
        <v>6.09218</v>
      </c>
      <c r="V81" s="15">
        <v>1</v>
      </c>
      <c r="W81" s="19">
        <v>10</v>
      </c>
      <c r="X81" s="19">
        <v>10</v>
      </c>
      <c r="Y81" s="19">
        <v>0</v>
      </c>
      <c r="Z81" s="15">
        <v>0</v>
      </c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</row>
    <row r="82" spans="1:44">
      <c r="A82" s="3" t="s">
        <v>51</v>
      </c>
      <c r="B82" s="5" t="s">
        <v>63</v>
      </c>
      <c r="C82" s="5" t="s">
        <v>46</v>
      </c>
      <c r="D82" s="5" t="s">
        <v>53</v>
      </c>
      <c r="E82" s="31">
        <v>2</v>
      </c>
      <c r="F82" s="11" t="s">
        <v>54</v>
      </c>
      <c r="G82" s="11">
        <v>0.410891666666667</v>
      </c>
      <c r="H82" s="11" t="s">
        <v>54</v>
      </c>
      <c r="I82" s="11">
        <v>-83.326494794864</v>
      </c>
      <c r="J82" s="11">
        <v>10.3501709693781</v>
      </c>
      <c r="K82" s="15">
        <v>1</v>
      </c>
      <c r="L82" s="15">
        <v>1</v>
      </c>
      <c r="M82" s="11">
        <v>9.46576137</v>
      </c>
      <c r="N82" s="11">
        <v>10.0564</v>
      </c>
      <c r="O82" s="15">
        <v>1</v>
      </c>
      <c r="P82" s="19">
        <v>10</v>
      </c>
      <c r="Q82" s="19">
        <v>10</v>
      </c>
      <c r="R82" s="19">
        <v>0</v>
      </c>
      <c r="S82" s="15">
        <v>0</v>
      </c>
      <c r="T82" s="11">
        <v>4.59669106666667</v>
      </c>
      <c r="U82" s="11">
        <v>6.36183</v>
      </c>
      <c r="V82" s="15">
        <v>0.996969696969697</v>
      </c>
      <c r="W82" s="19">
        <v>11</v>
      </c>
      <c r="X82" s="19">
        <v>11</v>
      </c>
      <c r="Y82" s="19">
        <v>0</v>
      </c>
      <c r="Z82" s="15">
        <v>0</v>
      </c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</row>
    <row r="83" spans="1:44">
      <c r="A83" s="3" t="s">
        <v>44</v>
      </c>
      <c r="B83" s="7" t="s">
        <v>60</v>
      </c>
      <c r="C83" s="4" t="s">
        <v>49</v>
      </c>
      <c r="D83" s="5" t="s">
        <v>50</v>
      </c>
      <c r="E83" s="29">
        <v>2</v>
      </c>
      <c r="F83" s="10">
        <v>2.445</v>
      </c>
      <c r="G83" s="10">
        <v>0.277</v>
      </c>
      <c r="H83" s="10">
        <v>8.82671480144404</v>
      </c>
      <c r="I83" s="10">
        <v>-83.1836057201226</v>
      </c>
      <c r="J83" s="10">
        <v>6.88473891726251</v>
      </c>
      <c r="K83" s="14">
        <v>0.902553626149132</v>
      </c>
      <c r="L83" s="14">
        <v>0.902553626149132</v>
      </c>
      <c r="M83" s="10">
        <v>6.9389043715847</v>
      </c>
      <c r="N83" s="10">
        <v>9.752</v>
      </c>
      <c r="O83" s="14">
        <v>0.96448087431694</v>
      </c>
      <c r="P83" s="18">
        <v>12</v>
      </c>
      <c r="Q83" s="18">
        <v>12</v>
      </c>
      <c r="R83" s="18">
        <v>0</v>
      </c>
      <c r="S83" s="14">
        <v>0</v>
      </c>
      <c r="T83" s="10">
        <v>4.6045798816568</v>
      </c>
      <c r="U83" s="10">
        <v>6.032</v>
      </c>
      <c r="V83" s="14">
        <v>0.931952662721893</v>
      </c>
      <c r="W83" s="18">
        <v>12</v>
      </c>
      <c r="X83" s="18">
        <v>11</v>
      </c>
      <c r="Y83" s="18">
        <v>0</v>
      </c>
      <c r="Z83" s="14">
        <v>0</v>
      </c>
      <c r="AA83" s="10">
        <v>-85.173091503268</v>
      </c>
      <c r="AB83" s="10">
        <v>4.21035947712418</v>
      </c>
      <c r="AC83" s="14">
        <v>0.928104575163399</v>
      </c>
      <c r="AD83" s="14">
        <v>0.928104575163399</v>
      </c>
      <c r="AE83" s="10">
        <v>6.47871929824561</v>
      </c>
      <c r="AF83" s="10">
        <v>9.163</v>
      </c>
      <c r="AG83" s="14">
        <v>0.982456140350877</v>
      </c>
      <c r="AH83" s="18">
        <v>12</v>
      </c>
      <c r="AI83" s="18">
        <v>12</v>
      </c>
      <c r="AJ83" s="18">
        <v>0</v>
      </c>
      <c r="AK83" s="14">
        <v>0</v>
      </c>
      <c r="AL83" s="10">
        <v>4.40453846153846</v>
      </c>
      <c r="AM83" s="10">
        <v>5.382</v>
      </c>
      <c r="AN83" s="14">
        <v>0.903846153846154</v>
      </c>
      <c r="AO83" s="18">
        <v>12</v>
      </c>
      <c r="AP83" s="18">
        <v>11</v>
      </c>
      <c r="AQ83" s="18">
        <v>0</v>
      </c>
      <c r="AR83" s="14">
        <v>0</v>
      </c>
    </row>
    <row r="84" spans="1:44">
      <c r="A84" s="3" t="s">
        <v>51</v>
      </c>
      <c r="B84" s="6" t="s">
        <v>55</v>
      </c>
      <c r="C84" s="6" t="s">
        <v>49</v>
      </c>
      <c r="D84" s="6" t="s">
        <v>50</v>
      </c>
      <c r="E84" s="32">
        <v>3</v>
      </c>
      <c r="F84" s="11">
        <v>2.08588175290823</v>
      </c>
      <c r="G84" s="11">
        <v>0.5645</v>
      </c>
      <c r="H84" s="11">
        <v>3.69509610789766</v>
      </c>
      <c r="I84" s="11">
        <v>-83.047248895217</v>
      </c>
      <c r="J84" s="11">
        <v>12.5331683776495</v>
      </c>
      <c r="K84" s="15">
        <v>0.971422901369319</v>
      </c>
      <c r="L84" s="15">
        <v>0.972514387775352</v>
      </c>
      <c r="M84" s="11">
        <v>8.31045176888889</v>
      </c>
      <c r="N84" s="11">
        <v>10.1052</v>
      </c>
      <c r="O84" s="15">
        <v>0.951111111111111</v>
      </c>
      <c r="P84" s="19">
        <v>15</v>
      </c>
      <c r="Q84" s="19">
        <v>15</v>
      </c>
      <c r="R84" s="19">
        <v>0</v>
      </c>
      <c r="S84" s="15">
        <v>0</v>
      </c>
      <c r="T84" s="11">
        <v>4.54309951777778</v>
      </c>
      <c r="U84" s="11">
        <v>5.47284</v>
      </c>
      <c r="V84" s="15">
        <v>1</v>
      </c>
      <c r="W84" s="19">
        <v>15</v>
      </c>
      <c r="X84" s="19">
        <v>15</v>
      </c>
      <c r="Y84" s="19">
        <v>0</v>
      </c>
      <c r="Z84" s="15">
        <v>0</v>
      </c>
      <c r="AA84" s="11">
        <v>-83.487278684219</v>
      </c>
      <c r="AB84" s="11">
        <v>11.7245282266274</v>
      </c>
      <c r="AC84" s="15">
        <v>0.98780487804878</v>
      </c>
      <c r="AD84" s="15">
        <v>0.98780487804878</v>
      </c>
      <c r="AE84" s="11">
        <v>8.1791604675819</v>
      </c>
      <c r="AF84" s="11">
        <v>9.89613191666666</v>
      </c>
      <c r="AG84" s="15">
        <v>0.967741935483871</v>
      </c>
      <c r="AH84" s="19">
        <v>15</v>
      </c>
      <c r="AI84" s="19">
        <v>15</v>
      </c>
      <c r="AJ84" s="19">
        <v>0</v>
      </c>
      <c r="AK84" s="15">
        <v>0</v>
      </c>
      <c r="AL84" s="11">
        <v>4.60072607510627</v>
      </c>
      <c r="AM84" s="11">
        <v>4.9647805</v>
      </c>
      <c r="AN84" s="15">
        <v>1</v>
      </c>
      <c r="AO84" s="19">
        <v>15</v>
      </c>
      <c r="AP84" s="19">
        <v>15</v>
      </c>
      <c r="AQ84" s="19">
        <v>0</v>
      </c>
      <c r="AR84" s="15">
        <v>0</v>
      </c>
    </row>
    <row r="85" spans="1:44">
      <c r="A85" s="3" t="s">
        <v>44</v>
      </c>
      <c r="B85" s="7" t="s">
        <v>60</v>
      </c>
      <c r="C85" s="4" t="s">
        <v>49</v>
      </c>
      <c r="D85" s="5" t="s">
        <v>50</v>
      </c>
      <c r="E85" s="29">
        <v>1</v>
      </c>
      <c r="F85" s="10">
        <v>6.053</v>
      </c>
      <c r="G85" s="10">
        <v>0.64</v>
      </c>
      <c r="H85" s="10">
        <v>9.4578125</v>
      </c>
      <c r="I85" s="10">
        <v>-82.7151489991297</v>
      </c>
      <c r="J85" s="10">
        <v>11.047980591819</v>
      </c>
      <c r="K85" s="14">
        <v>0.970670147954743</v>
      </c>
      <c r="L85" s="14">
        <v>0.977197563098346</v>
      </c>
      <c r="M85" s="10">
        <v>6.37064792176039</v>
      </c>
      <c r="N85" s="10">
        <v>8.755</v>
      </c>
      <c r="O85" s="14">
        <v>0.991442542787286</v>
      </c>
      <c r="P85" s="18">
        <v>27</v>
      </c>
      <c r="Q85" s="18">
        <v>27</v>
      </c>
      <c r="R85" s="18">
        <v>0</v>
      </c>
      <c r="S85" s="14">
        <v>0</v>
      </c>
      <c r="T85" s="10">
        <v>2.70317444717445</v>
      </c>
      <c r="U85" s="10">
        <v>5.498</v>
      </c>
      <c r="V85" s="14">
        <v>0.965601965601966</v>
      </c>
      <c r="W85" s="18">
        <v>27</v>
      </c>
      <c r="X85" s="18">
        <v>27</v>
      </c>
      <c r="Y85" s="18">
        <v>0</v>
      </c>
      <c r="Z85" s="14">
        <v>0</v>
      </c>
      <c r="AA85" s="10">
        <v>-82.8531207865169</v>
      </c>
      <c r="AB85" s="10">
        <v>11.8948820224719</v>
      </c>
      <c r="AC85" s="14">
        <v>0.97752808988764</v>
      </c>
      <c r="AD85" s="14">
        <v>0.98314606741573</v>
      </c>
      <c r="AE85" s="10">
        <v>6.30069230769231</v>
      </c>
      <c r="AF85" s="10">
        <v>8.414</v>
      </c>
      <c r="AG85" s="14">
        <v>1</v>
      </c>
      <c r="AH85" s="18">
        <v>27</v>
      </c>
      <c r="AI85" s="18">
        <v>27</v>
      </c>
      <c r="AJ85" s="18">
        <v>0</v>
      </c>
      <c r="AK85" s="14">
        <v>0</v>
      </c>
      <c r="AL85" s="10">
        <v>2.73286363636364</v>
      </c>
      <c r="AM85" s="10">
        <v>5.106</v>
      </c>
      <c r="AN85" s="14">
        <v>0.992424242424243</v>
      </c>
      <c r="AO85" s="18">
        <v>27</v>
      </c>
      <c r="AP85" s="18">
        <v>27</v>
      </c>
      <c r="AQ85" s="18">
        <v>0</v>
      </c>
      <c r="AR85" s="14">
        <v>0</v>
      </c>
    </row>
    <row r="86" spans="1:44">
      <c r="A86" s="3" t="s">
        <v>51</v>
      </c>
      <c r="B86" s="6" t="s">
        <v>52</v>
      </c>
      <c r="C86" s="6" t="s">
        <v>49</v>
      </c>
      <c r="D86" s="6" t="s">
        <v>61</v>
      </c>
      <c r="E86" s="30">
        <v>2</v>
      </c>
      <c r="F86" s="11">
        <v>2.12726338416338</v>
      </c>
      <c r="G86" s="11">
        <v>0.449758333333333</v>
      </c>
      <c r="H86" s="11">
        <v>4.72979203830957</v>
      </c>
      <c r="I86" s="11">
        <v>-82.7025719729165</v>
      </c>
      <c r="J86" s="11">
        <v>10.9881543771664</v>
      </c>
      <c r="K86" s="15">
        <v>0.98388696083292</v>
      </c>
      <c r="L86" s="15">
        <v>0.984010907288052</v>
      </c>
      <c r="M86" s="11">
        <v>7.90528349498328</v>
      </c>
      <c r="N86" s="11">
        <v>8.91878</v>
      </c>
      <c r="O86" s="15">
        <v>0.989966555183946</v>
      </c>
      <c r="P86" s="19">
        <v>10</v>
      </c>
      <c r="Q86" s="19">
        <v>10</v>
      </c>
      <c r="R86" s="19">
        <v>0</v>
      </c>
      <c r="S86" s="15">
        <v>0</v>
      </c>
      <c r="T86" s="11">
        <v>4.52920793</v>
      </c>
      <c r="U86" s="11">
        <v>6.02577</v>
      </c>
      <c r="V86" s="15">
        <v>0.99</v>
      </c>
      <c r="W86" s="19">
        <v>10</v>
      </c>
      <c r="X86" s="19">
        <v>10</v>
      </c>
      <c r="Y86" s="19">
        <v>0</v>
      </c>
      <c r="Z86" s="15">
        <v>0</v>
      </c>
      <c r="AA86" s="11">
        <v>-83.514630059221</v>
      </c>
      <c r="AB86" s="11">
        <v>10.3091328257842</v>
      </c>
      <c r="AC86" s="15">
        <v>1</v>
      </c>
      <c r="AD86" s="15">
        <v>1</v>
      </c>
      <c r="AE86" s="11">
        <v>7.917780414568</v>
      </c>
      <c r="AF86" s="11">
        <v>8.58609</v>
      </c>
      <c r="AG86" s="15">
        <v>1</v>
      </c>
      <c r="AH86" s="19">
        <v>10</v>
      </c>
      <c r="AI86" s="19">
        <v>10</v>
      </c>
      <c r="AJ86" s="19">
        <v>0</v>
      </c>
      <c r="AK86" s="15">
        <v>0</v>
      </c>
      <c r="AL86" s="11">
        <v>4.56771330665251</v>
      </c>
      <c r="AM86" s="11">
        <v>4.9555325</v>
      </c>
      <c r="AN86" s="15">
        <v>1</v>
      </c>
      <c r="AO86" s="19">
        <v>10</v>
      </c>
      <c r="AP86" s="19">
        <v>10</v>
      </c>
      <c r="AQ86" s="19">
        <v>0</v>
      </c>
      <c r="AR86" s="15">
        <v>0</v>
      </c>
    </row>
    <row r="87" spans="1:44">
      <c r="A87" s="3" t="s">
        <v>51</v>
      </c>
      <c r="B87" s="6" t="s">
        <v>52</v>
      </c>
      <c r="C87" s="6" t="s">
        <v>49</v>
      </c>
      <c r="D87" s="6" t="s">
        <v>61</v>
      </c>
      <c r="E87" s="30">
        <v>3</v>
      </c>
      <c r="F87" s="11">
        <v>2.12872540694475</v>
      </c>
      <c r="G87" s="11">
        <v>0.449927777777778</v>
      </c>
      <c r="H87" s="11">
        <v>4.73126024238526</v>
      </c>
      <c r="I87" s="11">
        <v>-82.4689159754972</v>
      </c>
      <c r="J87" s="11">
        <v>10.7006980971068</v>
      </c>
      <c r="K87" s="15">
        <v>0.974841987854753</v>
      </c>
      <c r="L87" s="15">
        <v>0.974841987854753</v>
      </c>
      <c r="M87" s="11">
        <v>7.91924151839465</v>
      </c>
      <c r="N87" s="11">
        <v>9.27828</v>
      </c>
      <c r="O87" s="15">
        <v>1</v>
      </c>
      <c r="P87" s="19">
        <v>10</v>
      </c>
      <c r="Q87" s="19">
        <v>10</v>
      </c>
      <c r="R87" s="19">
        <v>0</v>
      </c>
      <c r="S87" s="15">
        <v>0</v>
      </c>
      <c r="T87" s="11">
        <v>4.11483815757576</v>
      </c>
      <c r="U87" s="11">
        <v>5.47835</v>
      </c>
      <c r="V87" s="15">
        <v>0.978787878787879</v>
      </c>
      <c r="W87" s="19">
        <v>11</v>
      </c>
      <c r="X87" s="19">
        <v>11</v>
      </c>
      <c r="Y87" s="19">
        <v>0</v>
      </c>
      <c r="Z87" s="15">
        <v>0</v>
      </c>
      <c r="AA87" s="11">
        <v>-83.4010734928002</v>
      </c>
      <c r="AB87" s="11">
        <v>10.0862083037852</v>
      </c>
      <c r="AC87" s="15">
        <v>1</v>
      </c>
      <c r="AD87" s="15">
        <v>1</v>
      </c>
      <c r="AE87" s="11">
        <v>7.94982042087807</v>
      </c>
      <c r="AF87" s="11">
        <v>9.58918311111111</v>
      </c>
      <c r="AG87" s="15">
        <v>1</v>
      </c>
      <c r="AH87" s="19">
        <v>10</v>
      </c>
      <c r="AI87" s="19">
        <v>10</v>
      </c>
      <c r="AJ87" s="19">
        <v>0</v>
      </c>
      <c r="AK87" s="15">
        <v>0</v>
      </c>
      <c r="AL87" s="11">
        <v>4.19809524288554</v>
      </c>
      <c r="AM87" s="11">
        <v>4.79354633333333</v>
      </c>
      <c r="AN87" s="15">
        <v>1</v>
      </c>
      <c r="AO87" s="19">
        <v>11</v>
      </c>
      <c r="AP87" s="19">
        <v>11</v>
      </c>
      <c r="AQ87" s="19">
        <v>0</v>
      </c>
      <c r="AR87" s="15">
        <v>0</v>
      </c>
    </row>
    <row r="88" spans="1:44">
      <c r="A88" s="3" t="s">
        <v>44</v>
      </c>
      <c r="B88" s="3" t="s">
        <v>59</v>
      </c>
      <c r="C88" s="4" t="s">
        <v>49</v>
      </c>
      <c r="D88" s="5" t="s">
        <v>50</v>
      </c>
      <c r="E88" s="29">
        <v>2</v>
      </c>
      <c r="F88" s="10">
        <v>2.716</v>
      </c>
      <c r="G88" s="10">
        <v>0.698</v>
      </c>
      <c r="H88" s="10">
        <v>3.89111747851003</v>
      </c>
      <c r="I88" s="10">
        <v>-82.4291055136199</v>
      </c>
      <c r="J88" s="10">
        <v>4.59859689858878</v>
      </c>
      <c r="K88" s="14">
        <v>0.87807679684936</v>
      </c>
      <c r="L88" s="14">
        <v>0.87807679684936</v>
      </c>
      <c r="M88" s="10">
        <v>6.94843572984749</v>
      </c>
      <c r="N88" s="10">
        <v>9.479</v>
      </c>
      <c r="O88" s="14">
        <v>0.944444444444444</v>
      </c>
      <c r="P88" s="18">
        <v>30</v>
      </c>
      <c r="Q88" s="18">
        <v>30</v>
      </c>
      <c r="R88" s="18">
        <v>0</v>
      </c>
      <c r="S88" s="14">
        <v>0</v>
      </c>
      <c r="T88" s="10">
        <v>4.69945756880734</v>
      </c>
      <c r="U88" s="10">
        <v>5.642</v>
      </c>
      <c r="V88" s="14">
        <v>0.998853211009174</v>
      </c>
      <c r="W88" s="18">
        <v>29</v>
      </c>
      <c r="X88" s="18">
        <v>29</v>
      </c>
      <c r="Y88" s="18">
        <v>0</v>
      </c>
      <c r="Z88" s="14">
        <v>0</v>
      </c>
      <c r="AA88" s="10">
        <v>-83.2454545454545</v>
      </c>
      <c r="AB88" s="10">
        <v>4.20198395721925</v>
      </c>
      <c r="AC88" s="14">
        <v>0.903743315508021</v>
      </c>
      <c r="AD88" s="14">
        <v>0.903743315508021</v>
      </c>
      <c r="AE88" s="10">
        <v>7.18363636363636</v>
      </c>
      <c r="AF88" s="10">
        <v>9.176</v>
      </c>
      <c r="AG88" s="14">
        <v>0.987012987012987</v>
      </c>
      <c r="AH88" s="18">
        <v>30</v>
      </c>
      <c r="AI88" s="18">
        <v>30</v>
      </c>
      <c r="AJ88" s="18">
        <v>0</v>
      </c>
      <c r="AK88" s="14">
        <v>0</v>
      </c>
      <c r="AL88" s="10">
        <v>4.78263888888889</v>
      </c>
      <c r="AM88" s="10">
        <v>5.109</v>
      </c>
      <c r="AN88" s="14">
        <v>1</v>
      </c>
      <c r="AO88" s="18">
        <v>29</v>
      </c>
      <c r="AP88" s="18">
        <v>29</v>
      </c>
      <c r="AQ88" s="18">
        <v>0</v>
      </c>
      <c r="AR88" s="14">
        <v>0</v>
      </c>
    </row>
    <row r="89" spans="1:44">
      <c r="A89" s="3" t="s">
        <v>44</v>
      </c>
      <c r="B89" s="7" t="s">
        <v>60</v>
      </c>
      <c r="C89" s="4" t="s">
        <v>49</v>
      </c>
      <c r="D89" s="5" t="s">
        <v>50</v>
      </c>
      <c r="E89" s="29">
        <v>1</v>
      </c>
      <c r="F89" s="10">
        <v>3.814</v>
      </c>
      <c r="G89" s="10">
        <v>0.409</v>
      </c>
      <c r="H89" s="10">
        <v>9.32518337408313</v>
      </c>
      <c r="I89" s="10">
        <v>-82.2769148643064</v>
      </c>
      <c r="J89" s="10">
        <v>3.76722647747624</v>
      </c>
      <c r="K89" s="14">
        <v>0.802452128392341</v>
      </c>
      <c r="L89" s="14">
        <v>0.802452128392341</v>
      </c>
      <c r="M89" s="10">
        <v>7.33941233140655</v>
      </c>
      <c r="N89" s="10">
        <v>8.74</v>
      </c>
      <c r="O89" s="14">
        <v>0.944123314065511</v>
      </c>
      <c r="P89" s="18">
        <v>17</v>
      </c>
      <c r="Q89" s="18">
        <v>17</v>
      </c>
      <c r="R89" s="18">
        <v>0</v>
      </c>
      <c r="S89" s="14">
        <v>0</v>
      </c>
      <c r="T89" s="10">
        <v>4.67966274509804</v>
      </c>
      <c r="U89" s="10">
        <v>5.966</v>
      </c>
      <c r="V89" s="14">
        <v>0.96078431372549</v>
      </c>
      <c r="W89" s="18">
        <v>17</v>
      </c>
      <c r="X89" s="18">
        <v>17</v>
      </c>
      <c r="Y89" s="18">
        <v>0</v>
      </c>
      <c r="Z89" s="14">
        <v>0</v>
      </c>
      <c r="AA89" s="10">
        <v>-81.8793333333333</v>
      </c>
      <c r="AB89" s="10">
        <v>3.78218222222222</v>
      </c>
      <c r="AC89" s="14">
        <v>0.786666666666667</v>
      </c>
      <c r="AD89" s="14">
        <v>0.786666666666667</v>
      </c>
      <c r="AE89" s="10">
        <v>7.14250588235294</v>
      </c>
      <c r="AF89" s="10">
        <v>8.658</v>
      </c>
      <c r="AG89" s="14">
        <v>0.952941176470588</v>
      </c>
      <c r="AH89" s="18">
        <v>17</v>
      </c>
      <c r="AI89" s="18">
        <v>17</v>
      </c>
      <c r="AJ89" s="18">
        <v>0</v>
      </c>
      <c r="AK89" s="14">
        <v>0</v>
      </c>
      <c r="AL89" s="10">
        <v>4.60807792207792</v>
      </c>
      <c r="AM89" s="10">
        <v>5.472</v>
      </c>
      <c r="AN89" s="14">
        <v>0.987012987012987</v>
      </c>
      <c r="AO89" s="18">
        <v>17</v>
      </c>
      <c r="AP89" s="18">
        <v>17</v>
      </c>
      <c r="AQ89" s="18">
        <v>0</v>
      </c>
      <c r="AR89" s="14">
        <v>0</v>
      </c>
    </row>
    <row r="90" spans="1:44">
      <c r="A90" s="3" t="s">
        <v>44</v>
      </c>
      <c r="B90" s="7" t="s">
        <v>60</v>
      </c>
      <c r="C90" s="4" t="s">
        <v>49</v>
      </c>
      <c r="D90" s="5" t="s">
        <v>50</v>
      </c>
      <c r="E90" s="29">
        <v>2</v>
      </c>
      <c r="F90" s="10">
        <v>2.509</v>
      </c>
      <c r="G90" s="10">
        <v>0.522</v>
      </c>
      <c r="H90" s="10">
        <v>4.80651340996169</v>
      </c>
      <c r="I90" s="10">
        <v>-82.2683555220991</v>
      </c>
      <c r="J90" s="10">
        <v>8.96441068932143</v>
      </c>
      <c r="K90" s="14">
        <v>0.966232928271857</v>
      </c>
      <c r="L90" s="14">
        <v>0.966985697386816</v>
      </c>
      <c r="M90" s="10">
        <v>8.38102089552239</v>
      </c>
      <c r="N90" s="10">
        <v>9.891</v>
      </c>
      <c r="O90" s="14">
        <v>0.97910447761194</v>
      </c>
      <c r="P90" s="18">
        <v>22</v>
      </c>
      <c r="Q90" s="18">
        <v>22</v>
      </c>
      <c r="R90" s="18">
        <v>0</v>
      </c>
      <c r="S90" s="14">
        <v>0</v>
      </c>
      <c r="T90" s="10">
        <v>4.25337613293051</v>
      </c>
      <c r="U90" s="10">
        <v>5.782</v>
      </c>
      <c r="V90" s="14">
        <v>0.909365558912387</v>
      </c>
      <c r="W90" s="18">
        <v>22</v>
      </c>
      <c r="X90" s="18">
        <v>22</v>
      </c>
      <c r="Y90" s="18">
        <v>0</v>
      </c>
      <c r="Z90" s="14">
        <v>0</v>
      </c>
      <c r="AA90" s="10">
        <v>-82.149375</v>
      </c>
      <c r="AB90" s="10">
        <v>8.96224375</v>
      </c>
      <c r="AC90" s="14">
        <v>0.975</v>
      </c>
      <c r="AD90" s="14">
        <v>0.975</v>
      </c>
      <c r="AE90" s="10">
        <v>8.38408620689655</v>
      </c>
      <c r="AF90" s="10">
        <v>9.758</v>
      </c>
      <c r="AG90" s="14">
        <v>0.982758620689655</v>
      </c>
      <c r="AH90" s="18">
        <v>22</v>
      </c>
      <c r="AI90" s="18">
        <v>22</v>
      </c>
      <c r="AJ90" s="18">
        <v>0</v>
      </c>
      <c r="AK90" s="14">
        <v>0</v>
      </c>
      <c r="AL90" s="10">
        <v>4.0638253968254</v>
      </c>
      <c r="AM90" s="10">
        <v>4.993</v>
      </c>
      <c r="AN90" s="14">
        <v>0.888888888888889</v>
      </c>
      <c r="AO90" s="18">
        <v>22</v>
      </c>
      <c r="AP90" s="18">
        <v>22</v>
      </c>
      <c r="AQ90" s="18">
        <v>0</v>
      </c>
      <c r="AR90" s="14">
        <v>0</v>
      </c>
    </row>
    <row r="91" spans="1:44">
      <c r="A91" s="3" t="s">
        <v>44</v>
      </c>
      <c r="B91" s="3" t="s">
        <v>56</v>
      </c>
      <c r="C91" s="4" t="s">
        <v>46</v>
      </c>
      <c r="D91" s="5" t="s">
        <v>47</v>
      </c>
      <c r="E91" s="29">
        <v>1</v>
      </c>
      <c r="F91" s="10"/>
      <c r="G91" s="10">
        <v>0.245</v>
      </c>
      <c r="H91" s="10"/>
      <c r="I91" s="10">
        <v>-82.2338325855962</v>
      </c>
      <c r="J91" s="10">
        <v>10.6722318772137</v>
      </c>
      <c r="K91" s="14">
        <v>1</v>
      </c>
      <c r="L91" s="14">
        <v>1</v>
      </c>
      <c r="M91" s="10">
        <v>6.09269407894737</v>
      </c>
      <c r="N91" s="10">
        <v>7.437</v>
      </c>
      <c r="O91" s="14">
        <v>0.970394736842105</v>
      </c>
      <c r="P91" s="18">
        <v>10</v>
      </c>
      <c r="Q91" s="18">
        <v>10</v>
      </c>
      <c r="R91" s="18">
        <v>0</v>
      </c>
      <c r="S91" s="14">
        <v>0</v>
      </c>
      <c r="T91" s="10">
        <v>4.10008333333333</v>
      </c>
      <c r="U91" s="10">
        <v>6.028</v>
      </c>
      <c r="V91" s="14">
        <v>0.936666666666667</v>
      </c>
      <c r="W91" s="18">
        <v>10</v>
      </c>
      <c r="X91" s="18">
        <v>10</v>
      </c>
      <c r="Y91" s="18">
        <v>0</v>
      </c>
      <c r="Z91" s="14">
        <v>0</v>
      </c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</row>
    <row r="92" spans="1:44">
      <c r="A92" s="3" t="s">
        <v>51</v>
      </c>
      <c r="B92" s="5" t="s">
        <v>63</v>
      </c>
      <c r="C92" s="6" t="s">
        <v>49</v>
      </c>
      <c r="D92" s="6" t="s">
        <v>61</v>
      </c>
      <c r="E92" s="31">
        <v>2</v>
      </c>
      <c r="F92" s="11">
        <v>2.23328234964609</v>
      </c>
      <c r="G92" s="11">
        <v>0.601208333333333</v>
      </c>
      <c r="H92" s="11">
        <v>3.71465634427238</v>
      </c>
      <c r="I92" s="11">
        <v>-82.2075586188136</v>
      </c>
      <c r="J92" s="11">
        <v>11.5875639411535</v>
      </c>
      <c r="K92" s="15">
        <v>0.985817575083426</v>
      </c>
      <c r="L92" s="15">
        <v>0.986188357434186</v>
      </c>
      <c r="M92" s="11">
        <v>8.42953136752137</v>
      </c>
      <c r="N92" s="11">
        <v>9.76613</v>
      </c>
      <c r="O92" s="15">
        <v>0.995726495726496</v>
      </c>
      <c r="P92" s="19">
        <v>16</v>
      </c>
      <c r="Q92" s="19">
        <v>16</v>
      </c>
      <c r="R92" s="19">
        <v>0</v>
      </c>
      <c r="S92" s="15">
        <v>0</v>
      </c>
      <c r="T92" s="11">
        <v>4.69367112708333</v>
      </c>
      <c r="U92" s="11">
        <v>6.08</v>
      </c>
      <c r="V92" s="15">
        <v>1</v>
      </c>
      <c r="W92" s="19">
        <v>16</v>
      </c>
      <c r="X92" s="19">
        <v>16</v>
      </c>
      <c r="Y92" s="19">
        <v>0</v>
      </c>
      <c r="Z92" s="15">
        <v>0</v>
      </c>
      <c r="AA92" s="11">
        <v>-83.0623435008696</v>
      </c>
      <c r="AB92" s="11">
        <v>10.7727479362856</v>
      </c>
      <c r="AC92" s="15">
        <v>1</v>
      </c>
      <c r="AD92" s="15">
        <v>1</v>
      </c>
      <c r="AE92" s="11">
        <v>8.40881945322474</v>
      </c>
      <c r="AF92" s="11">
        <v>9.46804510526316</v>
      </c>
      <c r="AG92" s="15">
        <v>1</v>
      </c>
      <c r="AH92" s="19">
        <v>16</v>
      </c>
      <c r="AI92" s="19">
        <v>16</v>
      </c>
      <c r="AJ92" s="19">
        <v>0</v>
      </c>
      <c r="AK92" s="15">
        <v>0</v>
      </c>
      <c r="AL92" s="11">
        <v>4.66167422100469</v>
      </c>
      <c r="AM92" s="11">
        <v>4.95235625</v>
      </c>
      <c r="AN92" s="15">
        <v>1</v>
      </c>
      <c r="AO92" s="19">
        <v>16</v>
      </c>
      <c r="AP92" s="19">
        <v>16</v>
      </c>
      <c r="AQ92" s="19">
        <v>0</v>
      </c>
      <c r="AR92" s="15">
        <v>0</v>
      </c>
    </row>
    <row r="93" spans="1:44">
      <c r="A93" s="3" t="s">
        <v>44</v>
      </c>
      <c r="B93" s="3" t="s">
        <v>45</v>
      </c>
      <c r="C93" s="4" t="s">
        <v>49</v>
      </c>
      <c r="D93" s="5" t="s">
        <v>50</v>
      </c>
      <c r="E93" s="29">
        <v>3</v>
      </c>
      <c r="F93" s="10">
        <v>2.794</v>
      </c>
      <c r="G93" s="10">
        <v>0.973</v>
      </c>
      <c r="H93" s="10">
        <v>2.87153134635149</v>
      </c>
      <c r="I93" s="10">
        <v>-81.8504507727533</v>
      </c>
      <c r="J93" s="10">
        <v>5.42131957641671</v>
      </c>
      <c r="K93" s="14">
        <v>0.902461362335432</v>
      </c>
      <c r="L93" s="14">
        <v>0.902461362335432</v>
      </c>
      <c r="M93" s="10">
        <v>7.67536450839328</v>
      </c>
      <c r="N93" s="10">
        <v>9.6</v>
      </c>
      <c r="O93" s="14">
        <v>0.964828137490008</v>
      </c>
      <c r="P93" s="18">
        <v>41</v>
      </c>
      <c r="Q93" s="18">
        <v>41</v>
      </c>
      <c r="R93" s="18">
        <v>0</v>
      </c>
      <c r="S93" s="14">
        <v>0</v>
      </c>
      <c r="T93" s="10">
        <v>4.82309991876523</v>
      </c>
      <c r="U93" s="10">
        <v>5.779</v>
      </c>
      <c r="V93" s="14">
        <v>0.995938261575955</v>
      </c>
      <c r="W93" s="18">
        <v>41</v>
      </c>
      <c r="X93" s="18">
        <v>41</v>
      </c>
      <c r="Y93" s="18">
        <v>0</v>
      </c>
      <c r="Z93" s="14">
        <v>0</v>
      </c>
      <c r="AA93" s="10">
        <v>-81.4908300970874</v>
      </c>
      <c r="AB93" s="10">
        <v>6.0321359223301</v>
      </c>
      <c r="AC93" s="14">
        <v>0.975728155339806</v>
      </c>
      <c r="AD93" s="14">
        <v>0.975728155339806</v>
      </c>
      <c r="AE93" s="10">
        <v>7.71881927710843</v>
      </c>
      <c r="AF93" s="10">
        <v>9.6</v>
      </c>
      <c r="AG93" s="14">
        <v>0.975903614457831</v>
      </c>
      <c r="AH93" s="18">
        <v>41</v>
      </c>
      <c r="AI93" s="18">
        <v>41</v>
      </c>
      <c r="AJ93" s="18">
        <v>0</v>
      </c>
      <c r="AK93" s="14">
        <v>0</v>
      </c>
      <c r="AL93" s="10">
        <v>4.84472727272727</v>
      </c>
      <c r="AM93" s="10">
        <v>5.138</v>
      </c>
      <c r="AN93" s="14">
        <v>1</v>
      </c>
      <c r="AO93" s="18">
        <v>41</v>
      </c>
      <c r="AP93" s="18">
        <v>41</v>
      </c>
      <c r="AQ93" s="18">
        <v>0</v>
      </c>
      <c r="AR93" s="14">
        <v>0</v>
      </c>
    </row>
    <row r="94" spans="1:44">
      <c r="A94" s="3" t="s">
        <v>44</v>
      </c>
      <c r="B94" s="3" t="s">
        <v>48</v>
      </c>
      <c r="C94" s="4" t="s">
        <v>46</v>
      </c>
      <c r="D94" s="5" t="s">
        <v>47</v>
      </c>
      <c r="E94" s="29">
        <v>1</v>
      </c>
      <c r="F94" s="10"/>
      <c r="G94" s="10">
        <v>0.237</v>
      </c>
      <c r="H94" s="10"/>
      <c r="I94" s="10">
        <v>-81.8297714151608</v>
      </c>
      <c r="J94" s="10">
        <v>19.3716850504576</v>
      </c>
      <c r="K94" s="14">
        <v>1</v>
      </c>
      <c r="L94" s="14">
        <v>1</v>
      </c>
      <c r="M94" s="10">
        <v>8.40488852459016</v>
      </c>
      <c r="N94" s="10">
        <v>9.34</v>
      </c>
      <c r="O94" s="14">
        <v>0.99344262295082</v>
      </c>
      <c r="P94" s="18">
        <v>10</v>
      </c>
      <c r="Q94" s="18">
        <v>10</v>
      </c>
      <c r="R94" s="18">
        <v>0</v>
      </c>
      <c r="S94" s="14">
        <v>0</v>
      </c>
      <c r="T94" s="10">
        <v>4.98975747508306</v>
      </c>
      <c r="U94" s="10">
        <v>5.985</v>
      </c>
      <c r="V94" s="14">
        <v>0.996677740863787</v>
      </c>
      <c r="W94" s="18">
        <v>10</v>
      </c>
      <c r="X94" s="18">
        <v>10</v>
      </c>
      <c r="Y94" s="18">
        <v>0</v>
      </c>
      <c r="Z94" s="14">
        <v>0</v>
      </c>
      <c r="AA94" s="10"/>
      <c r="AB94" s="10"/>
      <c r="AC94" s="14"/>
      <c r="AD94" s="14"/>
      <c r="AE94" s="10"/>
      <c r="AF94" s="10"/>
      <c r="AG94" s="14"/>
      <c r="AH94" s="18"/>
      <c r="AI94" s="18"/>
      <c r="AJ94" s="18"/>
      <c r="AK94" s="14"/>
      <c r="AL94" s="10"/>
      <c r="AM94" s="10"/>
      <c r="AN94" s="14"/>
      <c r="AO94" s="18"/>
      <c r="AP94" s="18"/>
      <c r="AQ94" s="18"/>
      <c r="AR94" s="14"/>
    </row>
    <row r="95" spans="1:44">
      <c r="A95" s="3" t="s">
        <v>44</v>
      </c>
      <c r="B95" s="3" t="s">
        <v>59</v>
      </c>
      <c r="C95" s="4" t="s">
        <v>49</v>
      </c>
      <c r="D95" s="5" t="s">
        <v>50</v>
      </c>
      <c r="E95" s="29">
        <v>2</v>
      </c>
      <c r="F95" s="10">
        <v>2.422</v>
      </c>
      <c r="G95" s="10">
        <v>0.63</v>
      </c>
      <c r="H95" s="10">
        <v>3.84444444444444</v>
      </c>
      <c r="I95" s="10">
        <v>-81.6974106132711</v>
      </c>
      <c r="J95" s="10">
        <v>7.51655724162701</v>
      </c>
      <c r="K95" s="14">
        <v>0.964712220526174</v>
      </c>
      <c r="L95" s="14">
        <v>0.970279249349017</v>
      </c>
      <c r="M95" s="10">
        <v>7.85424665856622</v>
      </c>
      <c r="N95" s="10">
        <v>9.748</v>
      </c>
      <c r="O95" s="14">
        <v>0.986634264884569</v>
      </c>
      <c r="P95" s="18">
        <v>27</v>
      </c>
      <c r="Q95" s="18">
        <v>27</v>
      </c>
      <c r="R95" s="18">
        <v>0</v>
      </c>
      <c r="S95" s="14">
        <v>0</v>
      </c>
      <c r="T95" s="10">
        <v>4.77465128205128</v>
      </c>
      <c r="U95" s="10">
        <v>5.828</v>
      </c>
      <c r="V95" s="14">
        <v>0.998717948717949</v>
      </c>
      <c r="W95" s="18">
        <v>26</v>
      </c>
      <c r="X95" s="18">
        <v>26</v>
      </c>
      <c r="Y95" s="18">
        <v>0</v>
      </c>
      <c r="Z95" s="14">
        <v>0</v>
      </c>
      <c r="AA95" s="10">
        <v>-80.9450174418605</v>
      </c>
      <c r="AB95" s="10">
        <v>7.21920348837209</v>
      </c>
      <c r="AC95" s="14">
        <v>0.994186046511628</v>
      </c>
      <c r="AD95" s="14">
        <v>0.994186046511628</v>
      </c>
      <c r="AE95" s="10">
        <v>7.78511940298507</v>
      </c>
      <c r="AF95" s="10">
        <v>9.378</v>
      </c>
      <c r="AG95" s="14">
        <v>1</v>
      </c>
      <c r="AH95" s="18">
        <v>27</v>
      </c>
      <c r="AI95" s="18">
        <v>27</v>
      </c>
      <c r="AJ95" s="18">
        <v>0</v>
      </c>
      <c r="AK95" s="14">
        <v>0</v>
      </c>
      <c r="AL95" s="10">
        <v>4.77786153846154</v>
      </c>
      <c r="AM95" s="10">
        <v>5.185</v>
      </c>
      <c r="AN95" s="14">
        <v>1</v>
      </c>
      <c r="AO95" s="18">
        <v>26</v>
      </c>
      <c r="AP95" s="18">
        <v>26</v>
      </c>
      <c r="AQ95" s="18">
        <v>0</v>
      </c>
      <c r="AR95" s="14">
        <v>0</v>
      </c>
    </row>
    <row r="96" spans="1:44">
      <c r="A96" s="3" t="s">
        <v>51</v>
      </c>
      <c r="B96" s="5" t="s">
        <v>55</v>
      </c>
      <c r="C96" s="5" t="s">
        <v>46</v>
      </c>
      <c r="D96" s="5" t="s">
        <v>53</v>
      </c>
      <c r="E96" s="33">
        <v>2</v>
      </c>
      <c r="F96" s="11" t="s">
        <v>54</v>
      </c>
      <c r="G96" s="11">
        <v>0.377566666666667</v>
      </c>
      <c r="H96" s="11" t="s">
        <v>54</v>
      </c>
      <c r="I96" s="11">
        <v>-81.659830214998</v>
      </c>
      <c r="J96" s="11">
        <v>8.13708226579996</v>
      </c>
      <c r="K96" s="15">
        <v>1</v>
      </c>
      <c r="L96" s="15">
        <v>1</v>
      </c>
      <c r="M96" s="11">
        <v>7.84746657859532</v>
      </c>
      <c r="N96" s="11">
        <v>9.53706</v>
      </c>
      <c r="O96" s="15">
        <v>1</v>
      </c>
      <c r="P96" s="19">
        <v>10</v>
      </c>
      <c r="Q96" s="19">
        <v>10</v>
      </c>
      <c r="R96" s="19">
        <v>0</v>
      </c>
      <c r="S96" s="15">
        <v>0</v>
      </c>
      <c r="T96" s="11">
        <v>4.65805003666667</v>
      </c>
      <c r="U96" s="11">
        <v>6.11055</v>
      </c>
      <c r="V96" s="15">
        <v>0.996666666666667</v>
      </c>
      <c r="W96" s="19">
        <v>10</v>
      </c>
      <c r="X96" s="19">
        <v>10</v>
      </c>
      <c r="Y96" s="19">
        <v>0</v>
      </c>
      <c r="Z96" s="15">
        <v>0</v>
      </c>
      <c r="AA96" s="11"/>
      <c r="AB96" s="11"/>
      <c r="AC96" s="15"/>
      <c r="AD96" s="15"/>
      <c r="AE96" s="11"/>
      <c r="AF96" s="11"/>
      <c r="AG96" s="15"/>
      <c r="AH96" s="19"/>
      <c r="AI96" s="19"/>
      <c r="AJ96" s="19"/>
      <c r="AK96" s="15"/>
      <c r="AL96" s="11"/>
      <c r="AM96" s="11"/>
      <c r="AN96" s="15"/>
      <c r="AO96" s="19"/>
      <c r="AP96" s="19"/>
      <c r="AQ96" s="19"/>
      <c r="AR96" s="15"/>
    </row>
    <row r="97" spans="1:44">
      <c r="A97" s="3" t="s">
        <v>44</v>
      </c>
      <c r="B97" s="3" t="s">
        <v>45</v>
      </c>
      <c r="C97" s="8" t="s">
        <v>49</v>
      </c>
      <c r="D97" s="5" t="s">
        <v>50</v>
      </c>
      <c r="E97" s="29">
        <v>2</v>
      </c>
      <c r="F97" s="10">
        <v>4.841</v>
      </c>
      <c r="G97" s="10">
        <v>1.009</v>
      </c>
      <c r="H97" s="10">
        <v>4.7978196233895</v>
      </c>
      <c r="I97" s="10">
        <v>-81.6085836235939</v>
      </c>
      <c r="J97" s="10">
        <v>5.39718175069948</v>
      </c>
      <c r="K97" s="14">
        <v>0.868326386113173</v>
      </c>
      <c r="L97" s="14">
        <v>0.869297093587621</v>
      </c>
      <c r="M97" s="10">
        <v>6.49902182385035</v>
      </c>
      <c r="N97" s="10">
        <v>9.613</v>
      </c>
      <c r="O97" s="14">
        <v>0.908028059236165</v>
      </c>
      <c r="P97" s="18">
        <v>42</v>
      </c>
      <c r="Q97" s="18">
        <v>42</v>
      </c>
      <c r="R97" s="18">
        <v>0</v>
      </c>
      <c r="S97" s="14">
        <v>0</v>
      </c>
      <c r="T97" s="10">
        <v>4.44006260162602</v>
      </c>
      <c r="U97" s="10">
        <v>5.603</v>
      </c>
      <c r="V97" s="14">
        <v>0.991056910569106</v>
      </c>
      <c r="W97" s="18">
        <v>41</v>
      </c>
      <c r="X97" s="18">
        <v>41</v>
      </c>
      <c r="Y97" s="18">
        <v>0</v>
      </c>
      <c r="Z97" s="14">
        <v>0</v>
      </c>
      <c r="AA97" s="10">
        <v>-82.6936574923547</v>
      </c>
      <c r="AB97" s="10">
        <v>5.23096330275229</v>
      </c>
      <c r="AC97" s="14">
        <v>0.877675840978593</v>
      </c>
      <c r="AD97" s="14">
        <v>0.880733944954129</v>
      </c>
      <c r="AE97" s="10">
        <v>6.641832</v>
      </c>
      <c r="AF97" s="10">
        <v>9.464</v>
      </c>
      <c r="AG97" s="14">
        <v>0.944</v>
      </c>
      <c r="AH97" s="18">
        <v>42</v>
      </c>
      <c r="AI97" s="18">
        <v>42</v>
      </c>
      <c r="AJ97" s="18">
        <v>0</v>
      </c>
      <c r="AK97" s="14">
        <v>0</v>
      </c>
      <c r="AL97" s="10">
        <v>4.51159349593496</v>
      </c>
      <c r="AM97" s="10">
        <v>5.153</v>
      </c>
      <c r="AN97" s="14">
        <v>1</v>
      </c>
      <c r="AO97" s="18">
        <v>41</v>
      </c>
      <c r="AP97" s="18">
        <v>41</v>
      </c>
      <c r="AQ97" s="18">
        <v>0</v>
      </c>
      <c r="AR97" s="14">
        <v>0</v>
      </c>
    </row>
    <row r="98" spans="1:44">
      <c r="A98" s="3" t="s">
        <v>44</v>
      </c>
      <c r="B98" s="7" t="s">
        <v>60</v>
      </c>
      <c r="C98" s="4" t="s">
        <v>46</v>
      </c>
      <c r="D98" s="5" t="s">
        <v>47</v>
      </c>
      <c r="E98" s="29">
        <v>3</v>
      </c>
      <c r="F98" s="10"/>
      <c r="G98" s="10">
        <v>0.267</v>
      </c>
      <c r="H98" s="10"/>
      <c r="I98" s="10">
        <v>-81.5286111342786</v>
      </c>
      <c r="J98" s="10">
        <v>6.93725979983319</v>
      </c>
      <c r="K98" s="14">
        <v>1</v>
      </c>
      <c r="L98" s="14">
        <v>1</v>
      </c>
      <c r="M98" s="10">
        <v>8.84623127035831</v>
      </c>
      <c r="N98" s="10">
        <v>9.38</v>
      </c>
      <c r="O98" s="14">
        <v>0.996742671009772</v>
      </c>
      <c r="P98" s="18">
        <v>10</v>
      </c>
      <c r="Q98" s="18">
        <v>10</v>
      </c>
      <c r="R98" s="18">
        <v>0</v>
      </c>
      <c r="S98" s="14">
        <v>0</v>
      </c>
      <c r="T98" s="10">
        <v>5.01575666666667</v>
      </c>
      <c r="U98" s="10">
        <v>6.041</v>
      </c>
      <c r="V98" s="14">
        <v>1</v>
      </c>
      <c r="W98" s="18">
        <v>10</v>
      </c>
      <c r="X98" s="18">
        <v>10</v>
      </c>
      <c r="Y98" s="18">
        <v>0</v>
      </c>
      <c r="Z98" s="14">
        <v>0</v>
      </c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</row>
    <row r="99" spans="1:44">
      <c r="A99" s="3" t="s">
        <v>44</v>
      </c>
      <c r="B99" s="3" t="s">
        <v>59</v>
      </c>
      <c r="C99" s="4" t="s">
        <v>46</v>
      </c>
      <c r="D99" s="5" t="s">
        <v>53</v>
      </c>
      <c r="E99" s="29">
        <v>1</v>
      </c>
      <c r="F99" s="10"/>
      <c r="G99" s="10">
        <v>0.241</v>
      </c>
      <c r="H99" s="10"/>
      <c r="I99" s="10">
        <v>-81.5175376003894</v>
      </c>
      <c r="J99" s="10">
        <v>4.53948162569968</v>
      </c>
      <c r="K99" s="14">
        <v>1</v>
      </c>
      <c r="L99" s="14">
        <v>1</v>
      </c>
      <c r="M99" s="10">
        <v>4.10711803278689</v>
      </c>
      <c r="N99" s="10">
        <v>7.864</v>
      </c>
      <c r="O99" s="14">
        <v>0.731147540983607</v>
      </c>
      <c r="P99" s="18">
        <v>10</v>
      </c>
      <c r="Q99" s="18">
        <v>10</v>
      </c>
      <c r="R99" s="18">
        <v>0</v>
      </c>
      <c r="S99" s="14">
        <v>0</v>
      </c>
      <c r="T99" s="10">
        <v>4.90203986710963</v>
      </c>
      <c r="U99" s="10">
        <v>5.718</v>
      </c>
      <c r="V99" s="14">
        <v>0.996677740863787</v>
      </c>
      <c r="W99" s="18">
        <v>10</v>
      </c>
      <c r="X99" s="18">
        <v>10</v>
      </c>
      <c r="Y99" s="18">
        <v>0</v>
      </c>
      <c r="Z99" s="14">
        <v>0</v>
      </c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</row>
    <row r="100" spans="1:44">
      <c r="A100" s="3" t="s">
        <v>44</v>
      </c>
      <c r="B100" s="3" t="s">
        <v>56</v>
      </c>
      <c r="C100" s="4" t="s">
        <v>46</v>
      </c>
      <c r="D100" s="5" t="s">
        <v>57</v>
      </c>
      <c r="E100" s="29">
        <v>2</v>
      </c>
      <c r="F100" s="10"/>
      <c r="G100" s="10">
        <v>0.244</v>
      </c>
      <c r="H100" s="10"/>
      <c r="I100" s="10">
        <v>-81.2541471464588</v>
      </c>
      <c r="J100" s="10">
        <v>8.98517190006876</v>
      </c>
      <c r="K100" s="14">
        <v>1</v>
      </c>
      <c r="L100" s="14">
        <v>1</v>
      </c>
      <c r="M100" s="10">
        <v>9.60047213114754</v>
      </c>
      <c r="N100" s="10">
        <v>9.942</v>
      </c>
      <c r="O100" s="14">
        <v>1</v>
      </c>
      <c r="P100" s="18">
        <v>10</v>
      </c>
      <c r="Q100" s="18">
        <v>10</v>
      </c>
      <c r="R100" s="18">
        <v>0</v>
      </c>
      <c r="S100" s="14">
        <v>0</v>
      </c>
      <c r="T100" s="10">
        <v>4.92393333333333</v>
      </c>
      <c r="U100" s="10">
        <v>5.251</v>
      </c>
      <c r="V100" s="14">
        <v>1</v>
      </c>
      <c r="W100" s="18">
        <v>10</v>
      </c>
      <c r="X100" s="18">
        <v>10</v>
      </c>
      <c r="Y100" s="18">
        <v>0</v>
      </c>
      <c r="Z100" s="14">
        <v>0</v>
      </c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</row>
    <row r="101" spans="1:44">
      <c r="A101" s="3" t="s">
        <v>44</v>
      </c>
      <c r="B101" s="7" t="s">
        <v>60</v>
      </c>
      <c r="C101" s="4" t="s">
        <v>49</v>
      </c>
      <c r="D101" s="5" t="s">
        <v>50</v>
      </c>
      <c r="E101" s="29">
        <v>2</v>
      </c>
      <c r="F101" s="10">
        <v>2.612</v>
      </c>
      <c r="G101" s="10">
        <v>0.64</v>
      </c>
      <c r="H101" s="10">
        <v>4.08125</v>
      </c>
      <c r="I101" s="10">
        <v>-81.2142778753292</v>
      </c>
      <c r="J101" s="10">
        <v>5.47683889376646</v>
      </c>
      <c r="K101" s="14">
        <v>0.897366110623354</v>
      </c>
      <c r="L101" s="14">
        <v>0.897453906935909</v>
      </c>
      <c r="M101" s="10">
        <v>6.53070229007634</v>
      </c>
      <c r="N101" s="10">
        <v>8.324</v>
      </c>
      <c r="O101" s="14">
        <v>0.955470737913486</v>
      </c>
      <c r="P101" s="18">
        <v>26</v>
      </c>
      <c r="Q101" s="18">
        <v>26</v>
      </c>
      <c r="R101" s="18">
        <v>0</v>
      </c>
      <c r="S101" s="14">
        <v>0</v>
      </c>
      <c r="T101" s="10">
        <v>4.09203076923077</v>
      </c>
      <c r="U101" s="10">
        <v>5.68</v>
      </c>
      <c r="V101" s="14">
        <v>0.933333333333333</v>
      </c>
      <c r="W101" s="18">
        <v>26</v>
      </c>
      <c r="X101" s="18">
        <v>26</v>
      </c>
      <c r="Y101" s="18">
        <v>0</v>
      </c>
      <c r="Z101" s="14">
        <v>0</v>
      </c>
      <c r="AA101" s="10">
        <v>-80.6403392857143</v>
      </c>
      <c r="AB101" s="10">
        <v>6.00321428571429</v>
      </c>
      <c r="AC101" s="14">
        <v>0.946428571428571</v>
      </c>
      <c r="AD101" s="14">
        <v>0.946428571428571</v>
      </c>
      <c r="AE101" s="10">
        <v>6.44269696969697</v>
      </c>
      <c r="AF101" s="10">
        <v>8.143</v>
      </c>
      <c r="AG101" s="14">
        <v>0.984848484848485</v>
      </c>
      <c r="AH101" s="18">
        <v>26</v>
      </c>
      <c r="AI101" s="18">
        <v>26</v>
      </c>
      <c r="AJ101" s="18">
        <v>0</v>
      </c>
      <c r="AK101" s="14">
        <v>0</v>
      </c>
      <c r="AL101" s="10">
        <v>4.0555873015873</v>
      </c>
      <c r="AM101" s="10">
        <v>5.162</v>
      </c>
      <c r="AN101" s="14">
        <v>0.968253968253968</v>
      </c>
      <c r="AO101" s="18">
        <v>26</v>
      </c>
      <c r="AP101" s="18">
        <v>26</v>
      </c>
      <c r="AQ101" s="18">
        <v>0</v>
      </c>
      <c r="AR101" s="14">
        <v>0</v>
      </c>
    </row>
    <row r="102" spans="1:44">
      <c r="A102" s="3" t="s">
        <v>44</v>
      </c>
      <c r="B102" s="3" t="s">
        <v>45</v>
      </c>
      <c r="C102" s="4" t="s">
        <v>46</v>
      </c>
      <c r="D102" s="5" t="s">
        <v>57</v>
      </c>
      <c r="E102" s="29">
        <v>1</v>
      </c>
      <c r="F102" s="10"/>
      <c r="G102" s="10">
        <v>0.24</v>
      </c>
      <c r="H102" s="10"/>
      <c r="I102" s="10">
        <v>-80.9612528846154</v>
      </c>
      <c r="J102" s="10">
        <v>5.08163461538462</v>
      </c>
      <c r="K102" s="14">
        <v>1</v>
      </c>
      <c r="L102" s="14">
        <v>1</v>
      </c>
      <c r="M102" s="10">
        <v>7.21072277227723</v>
      </c>
      <c r="N102" s="10">
        <v>7.619</v>
      </c>
      <c r="O102" s="14">
        <v>1</v>
      </c>
      <c r="P102" s="18">
        <v>10</v>
      </c>
      <c r="Q102" s="18">
        <v>10</v>
      </c>
      <c r="R102" s="18">
        <v>0</v>
      </c>
      <c r="S102" s="14">
        <v>0</v>
      </c>
      <c r="T102" s="10">
        <v>4.44280602006689</v>
      </c>
      <c r="U102" s="10">
        <v>5.721</v>
      </c>
      <c r="V102" s="14">
        <v>1</v>
      </c>
      <c r="W102" s="18">
        <v>10</v>
      </c>
      <c r="X102" s="18">
        <v>10</v>
      </c>
      <c r="Y102" s="18">
        <v>0</v>
      </c>
      <c r="Z102" s="14">
        <v>0</v>
      </c>
      <c r="AA102" s="10"/>
      <c r="AB102" s="10"/>
      <c r="AC102" s="14"/>
      <c r="AD102" s="14"/>
      <c r="AE102" s="10"/>
      <c r="AF102" s="10"/>
      <c r="AG102" s="14"/>
      <c r="AH102" s="18"/>
      <c r="AI102" s="18"/>
      <c r="AJ102" s="18"/>
      <c r="AK102" s="14"/>
      <c r="AL102" s="10"/>
      <c r="AM102" s="10"/>
      <c r="AN102" s="14"/>
      <c r="AO102" s="18"/>
      <c r="AP102" s="18"/>
      <c r="AQ102" s="18"/>
      <c r="AR102" s="14"/>
    </row>
    <row r="103" spans="1:44">
      <c r="A103" s="3" t="s">
        <v>51</v>
      </c>
      <c r="B103" s="5" t="s">
        <v>63</v>
      </c>
      <c r="C103" s="5" t="s">
        <v>46</v>
      </c>
      <c r="D103" s="5" t="s">
        <v>57</v>
      </c>
      <c r="E103" s="31">
        <v>3</v>
      </c>
      <c r="F103" s="11" t="s">
        <v>54</v>
      </c>
      <c r="G103" s="11">
        <v>0.372152777777778</v>
      </c>
      <c r="H103" s="11" t="s">
        <v>54</v>
      </c>
      <c r="I103" s="11">
        <v>-80.9568829643224</v>
      </c>
      <c r="J103" s="11">
        <v>18.5945339195762</v>
      </c>
      <c r="K103" s="15">
        <v>1</v>
      </c>
      <c r="L103" s="15">
        <v>1</v>
      </c>
      <c r="M103" s="11">
        <v>8.67298272333333</v>
      </c>
      <c r="N103" s="11">
        <v>9.7307</v>
      </c>
      <c r="O103" s="15">
        <v>1</v>
      </c>
      <c r="P103" s="19">
        <v>10</v>
      </c>
      <c r="Q103" s="19">
        <v>10</v>
      </c>
      <c r="R103" s="19">
        <v>0</v>
      </c>
      <c r="S103" s="15">
        <v>0</v>
      </c>
      <c r="T103" s="11">
        <v>4.78832322</v>
      </c>
      <c r="U103" s="11">
        <v>6.09218</v>
      </c>
      <c r="V103" s="15">
        <v>1</v>
      </c>
      <c r="W103" s="19">
        <v>10</v>
      </c>
      <c r="X103" s="19">
        <v>10</v>
      </c>
      <c r="Y103" s="19">
        <v>0</v>
      </c>
      <c r="Z103" s="15">
        <v>0</v>
      </c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</row>
    <row r="104" spans="1:44">
      <c r="A104" s="3" t="s">
        <v>51</v>
      </c>
      <c r="B104" s="4" t="s">
        <v>58</v>
      </c>
      <c r="C104" s="4" t="s">
        <v>49</v>
      </c>
      <c r="D104" s="4" t="s">
        <v>64</v>
      </c>
      <c r="E104" s="30">
        <v>2</v>
      </c>
      <c r="F104" s="11">
        <v>214.062075688958</v>
      </c>
      <c r="G104" s="11">
        <v>7.05015</v>
      </c>
      <c r="H104" s="11">
        <v>30.3627689749804</v>
      </c>
      <c r="I104" s="11">
        <v>-80.8986574434553</v>
      </c>
      <c r="J104" s="11">
        <v>6.85884184444913</v>
      </c>
      <c r="K104" s="15">
        <v>0.914268503272961</v>
      </c>
      <c r="L104" s="15">
        <v>0.916075659612064</v>
      </c>
      <c r="M104" s="11">
        <v>6.52633492375053</v>
      </c>
      <c r="N104" s="11">
        <v>9.51738</v>
      </c>
      <c r="O104" s="15">
        <v>0.928235796668091</v>
      </c>
      <c r="P104" s="19">
        <v>156</v>
      </c>
      <c r="Q104" s="19">
        <v>156</v>
      </c>
      <c r="R104" s="19">
        <v>0</v>
      </c>
      <c r="S104" s="15">
        <v>0</v>
      </c>
      <c r="T104" s="11">
        <v>4.55756091239455</v>
      </c>
      <c r="U104" s="11">
        <v>6.74022</v>
      </c>
      <c r="V104" s="15">
        <v>0.974475448842743</v>
      </c>
      <c r="W104" s="19">
        <v>156</v>
      </c>
      <c r="X104" s="19">
        <v>156</v>
      </c>
      <c r="Y104" s="19">
        <v>0</v>
      </c>
      <c r="Z104" s="15">
        <v>0</v>
      </c>
      <c r="AA104" s="11">
        <v>-81.417481118801</v>
      </c>
      <c r="AB104" s="11">
        <v>6.42668099476995</v>
      </c>
      <c r="AC104" s="15">
        <v>0.915154214452734</v>
      </c>
      <c r="AD104" s="15">
        <v>0.917826522658947</v>
      </c>
      <c r="AE104" s="11">
        <v>6.50048270918232</v>
      </c>
      <c r="AF104" s="11">
        <v>9.386101</v>
      </c>
      <c r="AG104" s="15">
        <v>0.939943342776204</v>
      </c>
      <c r="AH104" s="19">
        <v>156</v>
      </c>
      <c r="AI104" s="19">
        <v>156</v>
      </c>
      <c r="AJ104" s="19">
        <v>0</v>
      </c>
      <c r="AK104" s="15">
        <v>0</v>
      </c>
      <c r="AL104" s="11">
        <v>4.53263414198709</v>
      </c>
      <c r="AM104" s="11">
        <v>6.406406</v>
      </c>
      <c r="AN104" s="15">
        <v>0.973806752037253</v>
      </c>
      <c r="AO104" s="19">
        <v>156</v>
      </c>
      <c r="AP104" s="19">
        <v>156</v>
      </c>
      <c r="AQ104" s="19">
        <v>0</v>
      </c>
      <c r="AR104" s="15">
        <v>0</v>
      </c>
    </row>
    <row r="105" spans="1:44">
      <c r="A105" s="3" t="s">
        <v>51</v>
      </c>
      <c r="B105" s="4" t="s">
        <v>58</v>
      </c>
      <c r="C105" s="6" t="s">
        <v>49</v>
      </c>
      <c r="D105" s="6" t="s">
        <v>61</v>
      </c>
      <c r="E105" s="30">
        <v>2</v>
      </c>
      <c r="F105" s="11">
        <v>2.05306912571192</v>
      </c>
      <c r="G105" s="11">
        <v>0.317058333333333</v>
      </c>
      <c r="H105" s="11">
        <v>6.47536717968382</v>
      </c>
      <c r="I105" s="11">
        <v>-80.8907217804824</v>
      </c>
      <c r="J105" s="11">
        <v>4.05568400997709</v>
      </c>
      <c r="K105" s="15">
        <v>0.914381744206616</v>
      </c>
      <c r="L105" s="15">
        <v>0.914735538652043</v>
      </c>
      <c r="M105" s="11">
        <v>6.9943805</v>
      </c>
      <c r="N105" s="11">
        <v>9.50667</v>
      </c>
      <c r="O105" s="15">
        <v>0.979166666666667</v>
      </c>
      <c r="P105" s="19">
        <v>8</v>
      </c>
      <c r="Q105" s="19">
        <v>8</v>
      </c>
      <c r="R105" s="19">
        <v>0</v>
      </c>
      <c r="S105" s="15">
        <v>0</v>
      </c>
      <c r="T105" s="11">
        <v>4.86243092372881</v>
      </c>
      <c r="U105" s="11">
        <v>7.35265</v>
      </c>
      <c r="V105" s="15">
        <v>0.991525423728814</v>
      </c>
      <c r="W105" s="19">
        <v>8</v>
      </c>
      <c r="X105" s="19">
        <v>8</v>
      </c>
      <c r="Y105" s="19">
        <v>0</v>
      </c>
      <c r="Z105" s="15">
        <v>0</v>
      </c>
      <c r="AA105" s="11">
        <v>-85.9344232973154</v>
      </c>
      <c r="AB105" s="11">
        <v>4.96885530042625</v>
      </c>
      <c r="AC105" s="15">
        <v>0.927835051546392</v>
      </c>
      <c r="AD105" s="15">
        <v>0.927835051546392</v>
      </c>
      <c r="AE105" s="11">
        <v>6.58039649861111</v>
      </c>
      <c r="AF105" s="11">
        <v>8.52552975</v>
      </c>
      <c r="AG105" s="15">
        <v>1</v>
      </c>
      <c r="AH105" s="19">
        <v>8</v>
      </c>
      <c r="AI105" s="19">
        <v>8</v>
      </c>
      <c r="AJ105" s="19">
        <v>0</v>
      </c>
      <c r="AK105" s="15">
        <v>0</v>
      </c>
      <c r="AL105" s="11">
        <v>5.08960241847517</v>
      </c>
      <c r="AM105" s="11">
        <v>7.389558</v>
      </c>
      <c r="AN105" s="15">
        <v>1</v>
      </c>
      <c r="AO105" s="19">
        <v>8</v>
      </c>
      <c r="AP105" s="19">
        <v>8</v>
      </c>
      <c r="AQ105" s="19">
        <v>0</v>
      </c>
      <c r="AR105" s="15">
        <v>0</v>
      </c>
    </row>
    <row r="106" spans="1:44">
      <c r="A106" s="3" t="s">
        <v>51</v>
      </c>
      <c r="B106" s="5" t="s">
        <v>63</v>
      </c>
      <c r="C106" s="5" t="s">
        <v>46</v>
      </c>
      <c r="D106" s="5" t="s">
        <v>57</v>
      </c>
      <c r="E106" s="31">
        <v>2</v>
      </c>
      <c r="F106" s="11" t="s">
        <v>54</v>
      </c>
      <c r="G106" s="11">
        <v>0.371977777777778</v>
      </c>
      <c r="H106" s="11" t="s">
        <v>54</v>
      </c>
      <c r="I106" s="11">
        <v>-80.869312490929</v>
      </c>
      <c r="J106" s="11">
        <v>18.2411337612457</v>
      </c>
      <c r="K106" s="15">
        <v>1</v>
      </c>
      <c r="L106" s="15">
        <v>1</v>
      </c>
      <c r="M106" s="11">
        <v>9.02411581666667</v>
      </c>
      <c r="N106" s="11">
        <v>9.71486</v>
      </c>
      <c r="O106" s="15">
        <v>1</v>
      </c>
      <c r="P106" s="19">
        <v>10</v>
      </c>
      <c r="Q106" s="19">
        <v>10</v>
      </c>
      <c r="R106" s="19">
        <v>0</v>
      </c>
      <c r="S106" s="15">
        <v>0</v>
      </c>
      <c r="T106" s="11">
        <v>4.73679946</v>
      </c>
      <c r="U106" s="11">
        <v>6.10442</v>
      </c>
      <c r="V106" s="15">
        <v>1</v>
      </c>
      <c r="W106" s="19">
        <v>10</v>
      </c>
      <c r="X106" s="19">
        <v>10</v>
      </c>
      <c r="Y106" s="19">
        <v>0</v>
      </c>
      <c r="Z106" s="15">
        <v>0</v>
      </c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</row>
    <row r="107" spans="1:44">
      <c r="A107" s="3" t="s">
        <v>51</v>
      </c>
      <c r="B107" s="5" t="s">
        <v>55</v>
      </c>
      <c r="C107" s="5" t="s">
        <v>49</v>
      </c>
      <c r="D107" s="5" t="s">
        <v>64</v>
      </c>
      <c r="E107" s="33">
        <v>2</v>
      </c>
      <c r="F107" s="11">
        <v>208.280553468883</v>
      </c>
      <c r="G107" s="11">
        <v>8.22178333333333</v>
      </c>
      <c r="H107" s="11">
        <v>25.3327708873642</v>
      </c>
      <c r="I107" s="11">
        <v>-80.6466097081961</v>
      </c>
      <c r="J107" s="11">
        <v>9.08331193747465</v>
      </c>
      <c r="K107" s="15">
        <v>0.969755518081831</v>
      </c>
      <c r="L107" s="15">
        <v>0.970171977087927</v>
      </c>
      <c r="M107" s="11">
        <v>7.45954667363888</v>
      </c>
      <c r="N107" s="11">
        <v>9.86693</v>
      </c>
      <c r="O107" s="15">
        <v>0.969086434943094</v>
      </c>
      <c r="P107" s="19">
        <v>218</v>
      </c>
      <c r="Q107" s="19">
        <v>217</v>
      </c>
      <c r="R107" s="19">
        <v>0</v>
      </c>
      <c r="S107" s="15">
        <v>0</v>
      </c>
      <c r="T107" s="11">
        <v>4.41057747004823</v>
      </c>
      <c r="U107" s="11">
        <v>5.77733</v>
      </c>
      <c r="V107" s="15">
        <v>0.992531507701883</v>
      </c>
      <c r="W107" s="19">
        <v>218</v>
      </c>
      <c r="X107" s="19">
        <v>217</v>
      </c>
      <c r="Y107" s="19">
        <v>1</v>
      </c>
      <c r="Z107" s="15">
        <v>0.00460829493087558</v>
      </c>
      <c r="AA107" s="11">
        <v>-81.9553811789054</v>
      </c>
      <c r="AB107" s="11">
        <v>9.06416076263296</v>
      </c>
      <c r="AC107" s="15">
        <v>0.981538085340506</v>
      </c>
      <c r="AD107" s="15">
        <v>0.981782614011493</v>
      </c>
      <c r="AE107" s="11">
        <v>7.46210578347481</v>
      </c>
      <c r="AF107" s="11">
        <v>9.744481</v>
      </c>
      <c r="AG107" s="15">
        <v>0.983253588516746</v>
      </c>
      <c r="AH107" s="19">
        <v>218</v>
      </c>
      <c r="AI107" s="19">
        <v>217</v>
      </c>
      <c r="AJ107" s="19">
        <v>0</v>
      </c>
      <c r="AK107" s="15">
        <v>0</v>
      </c>
      <c r="AL107" s="11">
        <v>4.35600358762219</v>
      </c>
      <c r="AM107" s="11">
        <v>5.22995466666667</v>
      </c>
      <c r="AN107" s="15">
        <v>0.995445344129555</v>
      </c>
      <c r="AO107" s="19">
        <v>218</v>
      </c>
      <c r="AP107" s="19">
        <v>217</v>
      </c>
      <c r="AQ107" s="19">
        <v>1</v>
      </c>
      <c r="AR107" s="15">
        <v>0.00460829493087558</v>
      </c>
    </row>
    <row r="108" spans="1:44">
      <c r="A108" s="3" t="s">
        <v>44</v>
      </c>
      <c r="B108" s="3" t="s">
        <v>45</v>
      </c>
      <c r="C108" s="4" t="s">
        <v>49</v>
      </c>
      <c r="D108" s="5" t="s">
        <v>50</v>
      </c>
      <c r="E108" s="29">
        <v>1</v>
      </c>
      <c r="F108" s="10">
        <v>2.577</v>
      </c>
      <c r="G108" s="10">
        <v>0.547</v>
      </c>
      <c r="H108" s="10">
        <v>4.71115173674589</v>
      </c>
      <c r="I108" s="10">
        <v>-80.5108315954119</v>
      </c>
      <c r="J108" s="10">
        <v>6.97418696558915</v>
      </c>
      <c r="K108" s="14">
        <v>0.906047966631908</v>
      </c>
      <c r="L108" s="14">
        <v>0.907090719499479</v>
      </c>
      <c r="M108" s="10">
        <v>5.5747</v>
      </c>
      <c r="N108" s="10">
        <v>7.554</v>
      </c>
      <c r="O108" s="14">
        <v>0.965714285714286</v>
      </c>
      <c r="P108" s="18">
        <v>23</v>
      </c>
      <c r="Q108" s="18">
        <v>23</v>
      </c>
      <c r="R108" s="18">
        <v>0</v>
      </c>
      <c r="S108" s="14">
        <v>0</v>
      </c>
      <c r="T108" s="10">
        <v>4.1018323699422</v>
      </c>
      <c r="U108" s="10">
        <v>5.717</v>
      </c>
      <c r="V108" s="14">
        <v>0.939306358381503</v>
      </c>
      <c r="W108" s="18">
        <v>23</v>
      </c>
      <c r="X108" s="18">
        <v>23</v>
      </c>
      <c r="Y108" s="18">
        <v>0</v>
      </c>
      <c r="Z108" s="14">
        <v>0</v>
      </c>
      <c r="AA108" s="10">
        <v>-80.6217738095238</v>
      </c>
      <c r="AB108" s="10">
        <v>6.55041071428571</v>
      </c>
      <c r="AC108" s="14">
        <v>0.952380952380952</v>
      </c>
      <c r="AD108" s="14">
        <v>0.952380952380952</v>
      </c>
      <c r="AE108" s="10">
        <v>5.40153846153846</v>
      </c>
      <c r="AF108" s="10">
        <v>7.228</v>
      </c>
      <c r="AG108" s="14">
        <v>0.984615384615385</v>
      </c>
      <c r="AH108" s="18">
        <v>23</v>
      </c>
      <c r="AI108" s="18">
        <v>23</v>
      </c>
      <c r="AJ108" s="18">
        <v>0</v>
      </c>
      <c r="AK108" s="14">
        <v>0</v>
      </c>
      <c r="AL108" s="10">
        <v>4.17892424242424</v>
      </c>
      <c r="AM108" s="10">
        <v>4.818</v>
      </c>
      <c r="AN108" s="14">
        <v>1</v>
      </c>
      <c r="AO108" s="18">
        <v>23</v>
      </c>
      <c r="AP108" s="18">
        <v>23</v>
      </c>
      <c r="AQ108" s="18">
        <v>0</v>
      </c>
      <c r="AR108" s="14">
        <v>0</v>
      </c>
    </row>
    <row r="109" spans="1:44">
      <c r="A109" s="3" t="s">
        <v>44</v>
      </c>
      <c r="B109" s="7" t="s">
        <v>60</v>
      </c>
      <c r="C109" s="4" t="s">
        <v>49</v>
      </c>
      <c r="D109" s="5" t="s">
        <v>50</v>
      </c>
      <c r="E109" s="29">
        <v>3</v>
      </c>
      <c r="F109" s="10">
        <v>6.053</v>
      </c>
      <c r="G109" s="10">
        <v>0.64</v>
      </c>
      <c r="H109" s="10">
        <v>9.4578125</v>
      </c>
      <c r="I109" s="10">
        <v>-80.4583460930641</v>
      </c>
      <c r="J109" s="10">
        <v>11.3067074626866</v>
      </c>
      <c r="K109" s="14">
        <v>0.969710272168569</v>
      </c>
      <c r="L109" s="14">
        <v>0.969710272168569</v>
      </c>
      <c r="M109" s="10">
        <v>9.03758980582524</v>
      </c>
      <c r="N109" s="10">
        <v>9.897</v>
      </c>
      <c r="O109" s="14">
        <v>0.997572815533981</v>
      </c>
      <c r="P109" s="18">
        <v>27</v>
      </c>
      <c r="Q109" s="18">
        <v>27</v>
      </c>
      <c r="R109" s="18">
        <v>0</v>
      </c>
      <c r="S109" s="14">
        <v>0</v>
      </c>
      <c r="T109" s="10">
        <v>4.61952103960396</v>
      </c>
      <c r="U109" s="10">
        <v>5.888</v>
      </c>
      <c r="V109" s="14">
        <v>0.97029702970297</v>
      </c>
      <c r="W109" s="18">
        <v>27</v>
      </c>
      <c r="X109" s="18">
        <v>27</v>
      </c>
      <c r="Y109" s="18">
        <v>0</v>
      </c>
      <c r="Z109" s="14">
        <v>0</v>
      </c>
      <c r="AA109" s="10">
        <v>-80.8526722689076</v>
      </c>
      <c r="AB109" s="10">
        <v>10.7306862745098</v>
      </c>
      <c r="AC109" s="14">
        <v>0.974789915966387</v>
      </c>
      <c r="AD109" s="14">
        <v>0.974789915966387</v>
      </c>
      <c r="AE109" s="10">
        <v>8.93029007633588</v>
      </c>
      <c r="AF109" s="10">
        <v>9.832</v>
      </c>
      <c r="AG109" s="14">
        <v>1</v>
      </c>
      <c r="AH109" s="18">
        <v>27</v>
      </c>
      <c r="AI109" s="18">
        <v>27</v>
      </c>
      <c r="AJ109" s="18">
        <v>0</v>
      </c>
      <c r="AK109" s="14">
        <v>0</v>
      </c>
      <c r="AL109" s="10">
        <v>4.52077272727273</v>
      </c>
      <c r="AM109" s="10">
        <v>5.277</v>
      </c>
      <c r="AN109" s="14">
        <v>0.992424242424243</v>
      </c>
      <c r="AO109" s="18">
        <v>27</v>
      </c>
      <c r="AP109" s="18">
        <v>27</v>
      </c>
      <c r="AQ109" s="18">
        <v>0</v>
      </c>
      <c r="AR109" s="14">
        <v>0</v>
      </c>
    </row>
    <row r="110" spans="1:44">
      <c r="A110" s="3" t="s">
        <v>51</v>
      </c>
      <c r="B110" s="4" t="s">
        <v>58</v>
      </c>
      <c r="C110" s="6" t="s">
        <v>49</v>
      </c>
      <c r="D110" s="6" t="s">
        <v>50</v>
      </c>
      <c r="E110" s="30">
        <v>2</v>
      </c>
      <c r="F110" s="11">
        <v>5.07167007052898</v>
      </c>
      <c r="G110" s="11">
        <v>0.584619444444444</v>
      </c>
      <c r="H110" s="11">
        <v>8.67516487644115</v>
      </c>
      <c r="I110" s="11">
        <v>-80.3311417135766</v>
      </c>
      <c r="J110" s="11">
        <v>8.28416214777793</v>
      </c>
      <c r="K110" s="15">
        <v>0.963111238204175</v>
      </c>
      <c r="L110" s="15">
        <v>0.963111238204175</v>
      </c>
      <c r="M110" s="11">
        <v>5.2500380760095</v>
      </c>
      <c r="N110" s="11">
        <v>8.47129</v>
      </c>
      <c r="O110" s="15">
        <v>0.876484560570071</v>
      </c>
      <c r="P110" s="19">
        <v>15</v>
      </c>
      <c r="Q110" s="19">
        <v>15</v>
      </c>
      <c r="R110" s="19">
        <v>0</v>
      </c>
      <c r="S110" s="15">
        <v>0</v>
      </c>
      <c r="T110" s="11">
        <v>4.4992167952381</v>
      </c>
      <c r="U110" s="11">
        <v>6.45161</v>
      </c>
      <c r="V110" s="15">
        <v>0.988095238095238</v>
      </c>
      <c r="W110" s="19">
        <v>14</v>
      </c>
      <c r="X110" s="19">
        <v>14</v>
      </c>
      <c r="Y110" s="19">
        <v>0</v>
      </c>
      <c r="Z110" s="15">
        <v>0</v>
      </c>
      <c r="AA110" s="11">
        <v>-81.4777923770216</v>
      </c>
      <c r="AB110" s="11">
        <v>8.34789945686538</v>
      </c>
      <c r="AC110" s="15">
        <v>0.969026548672566</v>
      </c>
      <c r="AD110" s="15">
        <v>0.969026548672566</v>
      </c>
      <c r="AE110" s="11">
        <v>5.26133635607348</v>
      </c>
      <c r="AF110" s="11">
        <v>9.52872133333333</v>
      </c>
      <c r="AG110" s="15">
        <v>0.920634920634921</v>
      </c>
      <c r="AH110" s="19">
        <v>15</v>
      </c>
      <c r="AI110" s="19">
        <v>15</v>
      </c>
      <c r="AJ110" s="19">
        <v>0</v>
      </c>
      <c r="AK110" s="15">
        <v>0</v>
      </c>
      <c r="AL110" s="11">
        <v>4.62728536152769</v>
      </c>
      <c r="AM110" s="11">
        <v>5.49124178947368</v>
      </c>
      <c r="AN110" s="15">
        <v>1</v>
      </c>
      <c r="AO110" s="19">
        <v>14</v>
      </c>
      <c r="AP110" s="19">
        <v>14</v>
      </c>
      <c r="AQ110" s="19">
        <v>0</v>
      </c>
      <c r="AR110" s="15">
        <v>0</v>
      </c>
    </row>
    <row r="111" spans="1:44">
      <c r="A111" s="3" t="s">
        <v>51</v>
      </c>
      <c r="B111" s="5" t="s">
        <v>55</v>
      </c>
      <c r="C111" s="5" t="s">
        <v>46</v>
      </c>
      <c r="D111" s="5" t="s">
        <v>53</v>
      </c>
      <c r="E111" s="33">
        <v>3</v>
      </c>
      <c r="F111" s="11" t="s">
        <v>54</v>
      </c>
      <c r="G111" s="11">
        <v>0.377725</v>
      </c>
      <c r="H111" s="11" t="s">
        <v>54</v>
      </c>
      <c r="I111" s="11">
        <v>-80.2064239011982</v>
      </c>
      <c r="J111" s="11">
        <v>5.6137147194587</v>
      </c>
      <c r="K111" s="15">
        <v>1</v>
      </c>
      <c r="L111" s="15">
        <v>1</v>
      </c>
      <c r="M111" s="11">
        <v>7.96472331333333</v>
      </c>
      <c r="N111" s="11">
        <v>9.59744</v>
      </c>
      <c r="O111" s="15">
        <v>1</v>
      </c>
      <c r="P111" s="19">
        <v>10</v>
      </c>
      <c r="Q111" s="19">
        <v>10</v>
      </c>
      <c r="R111" s="19">
        <v>0</v>
      </c>
      <c r="S111" s="15">
        <v>0</v>
      </c>
      <c r="T111" s="11">
        <v>4.77091370666667</v>
      </c>
      <c r="U111" s="11">
        <v>6.03774</v>
      </c>
      <c r="V111" s="15">
        <v>1</v>
      </c>
      <c r="W111" s="19">
        <v>10</v>
      </c>
      <c r="X111" s="19">
        <v>10</v>
      </c>
      <c r="Y111" s="19">
        <v>0</v>
      </c>
      <c r="Z111" s="15">
        <v>0</v>
      </c>
      <c r="AA111" s="11"/>
      <c r="AB111" s="11"/>
      <c r="AC111" s="15"/>
      <c r="AD111" s="15"/>
      <c r="AE111" s="11"/>
      <c r="AF111" s="11"/>
      <c r="AG111" s="15"/>
      <c r="AH111" s="19"/>
      <c r="AI111" s="19"/>
      <c r="AJ111" s="19"/>
      <c r="AK111" s="15"/>
      <c r="AL111" s="11"/>
      <c r="AM111" s="11"/>
      <c r="AN111" s="15"/>
      <c r="AO111" s="19"/>
      <c r="AP111" s="19"/>
      <c r="AQ111" s="19"/>
      <c r="AR111" s="15"/>
    </row>
    <row r="112" spans="1:44">
      <c r="A112" s="3" t="s">
        <v>51</v>
      </c>
      <c r="B112" s="6" t="s">
        <v>52</v>
      </c>
      <c r="C112" s="6" t="s">
        <v>49</v>
      </c>
      <c r="D112" s="6" t="s">
        <v>50</v>
      </c>
      <c r="E112" s="30">
        <v>2</v>
      </c>
      <c r="F112" s="11">
        <v>5.61482901751995</v>
      </c>
      <c r="G112" s="11">
        <v>0.418816666666667</v>
      </c>
      <c r="H112" s="11">
        <v>13.406412553273</v>
      </c>
      <c r="I112" s="11">
        <v>-80.203617093916</v>
      </c>
      <c r="J112" s="11">
        <v>10.9768125246561</v>
      </c>
      <c r="K112" s="15">
        <v>0.987087326943557</v>
      </c>
      <c r="L112" s="15">
        <v>0.987087326943557</v>
      </c>
      <c r="M112" s="11">
        <v>7.78835528666667</v>
      </c>
      <c r="N112" s="11">
        <v>8.7569</v>
      </c>
      <c r="O112" s="15">
        <v>1</v>
      </c>
      <c r="P112" s="19">
        <v>10</v>
      </c>
      <c r="Q112" s="19">
        <v>10</v>
      </c>
      <c r="R112" s="19">
        <v>0</v>
      </c>
      <c r="S112" s="15">
        <v>0</v>
      </c>
      <c r="T112" s="11">
        <v>4.50505973703704</v>
      </c>
      <c r="U112" s="11">
        <v>5.47284</v>
      </c>
      <c r="V112" s="15">
        <v>0.988888888888889</v>
      </c>
      <c r="W112" s="19">
        <v>9</v>
      </c>
      <c r="X112" s="19">
        <v>9</v>
      </c>
      <c r="Y112" s="19">
        <v>0</v>
      </c>
      <c r="Z112" s="15">
        <v>0</v>
      </c>
      <c r="AA112" s="11">
        <v>-81.2991044112892</v>
      </c>
      <c r="AB112" s="11">
        <v>10.7935691809173</v>
      </c>
      <c r="AC112" s="15">
        <v>0.99250936329588</v>
      </c>
      <c r="AD112" s="15">
        <v>0.99250936329588</v>
      </c>
      <c r="AE112" s="11">
        <v>7.68989782008882</v>
      </c>
      <c r="AF112" s="11">
        <v>8.558421125</v>
      </c>
      <c r="AG112" s="15">
        <v>1</v>
      </c>
      <c r="AH112" s="19">
        <v>10</v>
      </c>
      <c r="AI112" s="19">
        <v>10</v>
      </c>
      <c r="AJ112" s="19">
        <v>0</v>
      </c>
      <c r="AK112" s="15">
        <v>0</v>
      </c>
      <c r="AL112" s="11">
        <v>4.42931004776335</v>
      </c>
      <c r="AM112" s="11">
        <v>4.9338732</v>
      </c>
      <c r="AN112" s="15">
        <v>1</v>
      </c>
      <c r="AO112" s="19">
        <v>9</v>
      </c>
      <c r="AP112" s="19">
        <v>9</v>
      </c>
      <c r="AQ112" s="19">
        <v>0</v>
      </c>
      <c r="AR112" s="15">
        <v>0</v>
      </c>
    </row>
    <row r="113" spans="1:44">
      <c r="A113" s="3" t="s">
        <v>51</v>
      </c>
      <c r="B113" s="4" t="s">
        <v>58</v>
      </c>
      <c r="C113" s="4" t="s">
        <v>49</v>
      </c>
      <c r="D113" s="4" t="s">
        <v>64</v>
      </c>
      <c r="E113" s="30">
        <v>3</v>
      </c>
      <c r="F113" s="11">
        <v>214.098004991591</v>
      </c>
      <c r="G113" s="11">
        <v>7.05168305555556</v>
      </c>
      <c r="H113" s="11">
        <v>30.3612631629717</v>
      </c>
      <c r="I113" s="11">
        <v>-80.0466814364944</v>
      </c>
      <c r="J113" s="11">
        <v>7.20369689166034</v>
      </c>
      <c r="K113" s="15">
        <v>0.91234688799345</v>
      </c>
      <c r="L113" s="15">
        <v>0.913005089017675</v>
      </c>
      <c r="M113" s="11">
        <v>5.97957320132933</v>
      </c>
      <c r="N113" s="11">
        <v>9.1168</v>
      </c>
      <c r="O113" s="15">
        <v>0.901586620926244</v>
      </c>
      <c r="P113" s="19">
        <v>156</v>
      </c>
      <c r="Q113" s="19">
        <v>155</v>
      </c>
      <c r="R113" s="19">
        <v>1</v>
      </c>
      <c r="S113" s="15">
        <v>0.00645161290322581</v>
      </c>
      <c r="T113" s="11">
        <v>4.11639927696855</v>
      </c>
      <c r="U113" s="11">
        <v>5.70297</v>
      </c>
      <c r="V113" s="15">
        <v>0.981000633312223</v>
      </c>
      <c r="W113" s="19">
        <v>159</v>
      </c>
      <c r="X113" s="19">
        <v>159</v>
      </c>
      <c r="Y113" s="19">
        <v>0</v>
      </c>
      <c r="Z113" s="15">
        <v>0</v>
      </c>
      <c r="AA113" s="11">
        <v>-80.8421808109408</v>
      </c>
      <c r="AB113" s="11">
        <v>6.47986968683978</v>
      </c>
      <c r="AC113" s="15">
        <v>0.910648303661404</v>
      </c>
      <c r="AD113" s="15">
        <v>0.911432090471392</v>
      </c>
      <c r="AE113" s="11">
        <v>6.1402557038007</v>
      </c>
      <c r="AF113" s="11">
        <v>9.0975235</v>
      </c>
      <c r="AG113" s="15">
        <v>0.925083240843507</v>
      </c>
      <c r="AH113" s="19">
        <v>156</v>
      </c>
      <c r="AI113" s="19">
        <v>155</v>
      </c>
      <c r="AJ113" s="19">
        <v>1</v>
      </c>
      <c r="AK113" s="15">
        <v>0.00645161290322581</v>
      </c>
      <c r="AL113" s="11">
        <v>4.01060355715076</v>
      </c>
      <c r="AM113" s="11">
        <v>5.1296225</v>
      </c>
      <c r="AN113" s="15">
        <v>0.976163450624291</v>
      </c>
      <c r="AO113" s="19">
        <v>159</v>
      </c>
      <c r="AP113" s="19">
        <v>159</v>
      </c>
      <c r="AQ113" s="19">
        <v>0</v>
      </c>
      <c r="AR113" s="15">
        <v>0</v>
      </c>
    </row>
    <row r="114" spans="1:44">
      <c r="A114" s="3" t="s">
        <v>44</v>
      </c>
      <c r="B114" s="7" t="s">
        <v>60</v>
      </c>
      <c r="C114" s="4" t="s">
        <v>49</v>
      </c>
      <c r="D114" s="5" t="s">
        <v>50</v>
      </c>
      <c r="E114" s="29">
        <v>3</v>
      </c>
      <c r="F114" s="10">
        <v>2.612</v>
      </c>
      <c r="G114" s="10">
        <v>0.64</v>
      </c>
      <c r="H114" s="10">
        <v>4.08125</v>
      </c>
      <c r="I114" s="10">
        <v>-80.0152018114668</v>
      </c>
      <c r="J114" s="10">
        <v>3.57284101301442</v>
      </c>
      <c r="K114" s="14">
        <v>0.834329933169187</v>
      </c>
      <c r="L114" s="14">
        <v>0.834329933169187</v>
      </c>
      <c r="M114" s="10">
        <v>5.94112071535022</v>
      </c>
      <c r="N114" s="10">
        <v>8.934</v>
      </c>
      <c r="O114" s="14">
        <v>0.849478390461997</v>
      </c>
      <c r="P114" s="18">
        <v>22</v>
      </c>
      <c r="Q114" s="18">
        <v>22</v>
      </c>
      <c r="R114" s="18">
        <v>0</v>
      </c>
      <c r="S114" s="14">
        <v>0</v>
      </c>
      <c r="T114" s="10">
        <v>4.08791197691198</v>
      </c>
      <c r="U114" s="10">
        <v>5.744</v>
      </c>
      <c r="V114" s="14">
        <v>0.917748917748918</v>
      </c>
      <c r="W114" s="18">
        <v>23</v>
      </c>
      <c r="X114" s="18">
        <v>23</v>
      </c>
      <c r="Y114" s="18">
        <v>0</v>
      </c>
      <c r="Z114" s="14">
        <v>0</v>
      </c>
      <c r="AA114" s="10">
        <v>-79.1348224852071</v>
      </c>
      <c r="AB114" s="10">
        <v>3.94583431952663</v>
      </c>
      <c r="AC114" s="14">
        <v>0.869822485207101</v>
      </c>
      <c r="AD114" s="14">
        <v>0.869822485207101</v>
      </c>
      <c r="AE114" s="10">
        <v>5.83618181818182</v>
      </c>
      <c r="AF114" s="10">
        <v>8.723</v>
      </c>
      <c r="AG114" s="14">
        <v>0.909090909090909</v>
      </c>
      <c r="AH114" s="18">
        <v>22</v>
      </c>
      <c r="AI114" s="18">
        <v>22</v>
      </c>
      <c r="AJ114" s="18">
        <v>0</v>
      </c>
      <c r="AK114" s="14">
        <v>0</v>
      </c>
      <c r="AL114" s="10">
        <v>4.11322033898305</v>
      </c>
      <c r="AM114" s="10">
        <v>5.112</v>
      </c>
      <c r="AN114" s="14">
        <v>0.966101694915254</v>
      </c>
      <c r="AO114" s="18">
        <v>23</v>
      </c>
      <c r="AP114" s="18">
        <v>23</v>
      </c>
      <c r="AQ114" s="18">
        <v>0</v>
      </c>
      <c r="AR114" s="14">
        <v>0</v>
      </c>
    </row>
    <row r="115" spans="1:44">
      <c r="A115" s="3" t="s">
        <v>51</v>
      </c>
      <c r="B115" s="5" t="s">
        <v>55</v>
      </c>
      <c r="C115" s="5" t="s">
        <v>49</v>
      </c>
      <c r="D115" s="5" t="s">
        <v>64</v>
      </c>
      <c r="E115" s="33">
        <v>3</v>
      </c>
      <c r="F115" s="11">
        <v>208.282399428189</v>
      </c>
      <c r="G115" s="11">
        <v>8.22346111111111</v>
      </c>
      <c r="H115" s="11">
        <v>25.3278268862692</v>
      </c>
      <c r="I115" s="11">
        <v>-79.9161251794577</v>
      </c>
      <c r="J115" s="11">
        <v>9.1057957936444</v>
      </c>
      <c r="K115" s="15">
        <v>0.957150334083293</v>
      </c>
      <c r="L115" s="15">
        <v>0.957469803356467</v>
      </c>
      <c r="M115" s="11">
        <v>6.91466783842861</v>
      </c>
      <c r="N115" s="11">
        <v>9.4118</v>
      </c>
      <c r="O115" s="15">
        <v>0.975389789055335</v>
      </c>
      <c r="P115" s="19">
        <v>218</v>
      </c>
      <c r="Q115" s="19">
        <v>218</v>
      </c>
      <c r="R115" s="19">
        <v>0</v>
      </c>
      <c r="S115" s="15">
        <v>0</v>
      </c>
      <c r="T115" s="11">
        <v>4.45529663020595</v>
      </c>
      <c r="U115" s="11">
        <v>5.42373</v>
      </c>
      <c r="V115" s="15">
        <v>0.992372234935164</v>
      </c>
      <c r="W115" s="19">
        <v>220</v>
      </c>
      <c r="X115" s="19">
        <v>220</v>
      </c>
      <c r="Y115" s="19">
        <v>0</v>
      </c>
      <c r="Z115" s="15">
        <v>0</v>
      </c>
      <c r="AA115" s="11">
        <v>-80.4848865329482</v>
      </c>
      <c r="AB115" s="11">
        <v>9.35583228406653</v>
      </c>
      <c r="AC115" s="15">
        <v>0.975905088062622</v>
      </c>
      <c r="AD115" s="15">
        <v>0.976149706457926</v>
      </c>
      <c r="AE115" s="11">
        <v>7.00022930548633</v>
      </c>
      <c r="AF115" s="11">
        <v>9.419451</v>
      </c>
      <c r="AG115" s="15">
        <v>0.980314960629921</v>
      </c>
      <c r="AH115" s="19">
        <v>218</v>
      </c>
      <c r="AI115" s="19">
        <v>218</v>
      </c>
      <c r="AJ115" s="19">
        <v>0</v>
      </c>
      <c r="AK115" s="15">
        <v>0</v>
      </c>
      <c r="AL115" s="11">
        <v>4.44447407656524</v>
      </c>
      <c r="AM115" s="11">
        <v>5.114885</v>
      </c>
      <c r="AN115" s="15">
        <v>0.996652319464371</v>
      </c>
      <c r="AO115" s="19">
        <v>220</v>
      </c>
      <c r="AP115" s="19">
        <v>220</v>
      </c>
      <c r="AQ115" s="19">
        <v>0</v>
      </c>
      <c r="AR115" s="15">
        <v>0</v>
      </c>
    </row>
    <row r="116" spans="1:44">
      <c r="A116" s="3" t="s">
        <v>44</v>
      </c>
      <c r="B116" s="3" t="s">
        <v>45</v>
      </c>
      <c r="C116" s="4" t="s">
        <v>49</v>
      </c>
      <c r="D116" s="5" t="s">
        <v>50</v>
      </c>
      <c r="E116" s="29">
        <v>3</v>
      </c>
      <c r="F116" s="10">
        <v>4.841</v>
      </c>
      <c r="G116" s="10">
        <v>1.009</v>
      </c>
      <c r="H116" s="10">
        <v>4.7978196233895</v>
      </c>
      <c r="I116" s="10">
        <v>-79.8379522931551</v>
      </c>
      <c r="J116" s="10">
        <v>5.87703687485596</v>
      </c>
      <c r="K116" s="14">
        <v>0.950391795344549</v>
      </c>
      <c r="L116" s="14">
        <v>0.951140815856188</v>
      </c>
      <c r="M116" s="10">
        <v>5.96555244195356</v>
      </c>
      <c r="N116" s="10">
        <v>9.504</v>
      </c>
      <c r="O116" s="14">
        <v>0.897518014411529</v>
      </c>
      <c r="P116" s="18">
        <v>41</v>
      </c>
      <c r="Q116" s="18">
        <v>41</v>
      </c>
      <c r="R116" s="18">
        <v>0</v>
      </c>
      <c r="S116" s="14">
        <v>0</v>
      </c>
      <c r="T116" s="10">
        <v>4.43953803486529</v>
      </c>
      <c r="U116" s="10">
        <v>5.684</v>
      </c>
      <c r="V116" s="14">
        <v>0.997622820919176</v>
      </c>
      <c r="W116" s="18">
        <v>42</v>
      </c>
      <c r="X116" s="18">
        <v>42</v>
      </c>
      <c r="Y116" s="18">
        <v>0</v>
      </c>
      <c r="Z116" s="14">
        <v>0</v>
      </c>
      <c r="AA116" s="10">
        <v>-80.5408384146342</v>
      </c>
      <c r="AB116" s="10">
        <v>5.74082317073171</v>
      </c>
      <c r="AC116" s="14">
        <v>0.966463414634146</v>
      </c>
      <c r="AD116" s="14">
        <v>0.966463414634146</v>
      </c>
      <c r="AE116" s="10">
        <v>6.17929268292683</v>
      </c>
      <c r="AF116" s="10">
        <v>9.285</v>
      </c>
      <c r="AG116" s="14">
        <v>0.934959349593496</v>
      </c>
      <c r="AH116" s="18">
        <v>41</v>
      </c>
      <c r="AI116" s="18">
        <v>41</v>
      </c>
      <c r="AJ116" s="18">
        <v>0</v>
      </c>
      <c r="AK116" s="14">
        <v>0</v>
      </c>
      <c r="AL116" s="10">
        <v>4.4175905511811</v>
      </c>
      <c r="AM116" s="10">
        <v>5.293</v>
      </c>
      <c r="AN116" s="14">
        <v>1</v>
      </c>
      <c r="AO116" s="18">
        <v>42</v>
      </c>
      <c r="AP116" s="18">
        <v>42</v>
      </c>
      <c r="AQ116" s="18">
        <v>0</v>
      </c>
      <c r="AR116" s="14">
        <v>0</v>
      </c>
    </row>
    <row r="117" spans="1:44">
      <c r="A117" s="3" t="s">
        <v>44</v>
      </c>
      <c r="B117" s="3" t="s">
        <v>56</v>
      </c>
      <c r="C117" s="4" t="s">
        <v>46</v>
      </c>
      <c r="D117" s="5" t="s">
        <v>53</v>
      </c>
      <c r="E117" s="29">
        <v>2</v>
      </c>
      <c r="F117" s="10"/>
      <c r="G117" s="10">
        <v>0.26</v>
      </c>
      <c r="H117" s="10"/>
      <c r="I117" s="10">
        <v>-79.5554616044616</v>
      </c>
      <c r="J117" s="10">
        <v>21.1716537966538</v>
      </c>
      <c r="K117" s="14">
        <v>1</v>
      </c>
      <c r="L117" s="14">
        <v>1</v>
      </c>
      <c r="M117" s="10">
        <v>9.33703289473684</v>
      </c>
      <c r="N117" s="10">
        <v>9.901</v>
      </c>
      <c r="O117" s="14">
        <v>1</v>
      </c>
      <c r="P117" s="18">
        <v>10</v>
      </c>
      <c r="Q117" s="18">
        <v>10</v>
      </c>
      <c r="R117" s="18">
        <v>0</v>
      </c>
      <c r="S117" s="14">
        <v>0</v>
      </c>
      <c r="T117" s="10">
        <v>4.9271926910299</v>
      </c>
      <c r="U117" s="10">
        <v>5.781</v>
      </c>
      <c r="V117" s="14">
        <v>0.996677740863787</v>
      </c>
      <c r="W117" s="18">
        <v>10</v>
      </c>
      <c r="X117" s="18">
        <v>10</v>
      </c>
      <c r="Y117" s="18">
        <v>0</v>
      </c>
      <c r="Z117" s="14">
        <v>0</v>
      </c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</row>
    <row r="118" spans="1:44">
      <c r="A118" s="3" t="s">
        <v>44</v>
      </c>
      <c r="B118" s="3" t="s">
        <v>45</v>
      </c>
      <c r="C118" s="4" t="s">
        <v>49</v>
      </c>
      <c r="D118" s="5" t="s">
        <v>50</v>
      </c>
      <c r="E118" s="29">
        <v>1</v>
      </c>
      <c r="F118" s="10">
        <v>4.841</v>
      </c>
      <c r="G118" s="10">
        <v>1.009</v>
      </c>
      <c r="H118" s="10">
        <v>4.7978196233895</v>
      </c>
      <c r="I118" s="10">
        <v>-79.5431397423744</v>
      </c>
      <c r="J118" s="10">
        <v>7.25233379802599</v>
      </c>
      <c r="K118" s="14">
        <v>0.866949199799253</v>
      </c>
      <c r="L118" s="14">
        <v>0.869960408186026</v>
      </c>
      <c r="M118" s="10">
        <v>4.37860034013605</v>
      </c>
      <c r="N118" s="10">
        <v>6.969</v>
      </c>
      <c r="O118" s="14">
        <v>0.807823129251701</v>
      </c>
      <c r="P118" s="18">
        <v>39</v>
      </c>
      <c r="Q118" s="18">
        <v>39</v>
      </c>
      <c r="R118" s="18">
        <v>0</v>
      </c>
      <c r="S118" s="14">
        <v>0</v>
      </c>
      <c r="T118" s="10">
        <v>2.90772734627832</v>
      </c>
      <c r="U118" s="10">
        <v>5.462</v>
      </c>
      <c r="V118" s="14">
        <v>0.831715210355987</v>
      </c>
      <c r="W118" s="18">
        <v>41</v>
      </c>
      <c r="X118" s="18">
        <v>41</v>
      </c>
      <c r="Y118" s="18">
        <v>0</v>
      </c>
      <c r="Z118" s="14">
        <v>0</v>
      </c>
      <c r="AA118" s="10">
        <v>-79.0227325227963</v>
      </c>
      <c r="AB118" s="10">
        <v>7.29814285714286</v>
      </c>
      <c r="AC118" s="14">
        <v>0.887537993920973</v>
      </c>
      <c r="AD118" s="14">
        <v>0.887537993920973</v>
      </c>
      <c r="AE118" s="10">
        <v>4.60757522123894</v>
      </c>
      <c r="AF118" s="10">
        <v>6.942</v>
      </c>
      <c r="AG118" s="14">
        <v>0.876106194690265</v>
      </c>
      <c r="AH118" s="18">
        <v>39</v>
      </c>
      <c r="AI118" s="18">
        <v>39</v>
      </c>
      <c r="AJ118" s="18">
        <v>0</v>
      </c>
      <c r="AK118" s="14">
        <v>0</v>
      </c>
      <c r="AL118" s="10">
        <v>2.90645967741935</v>
      </c>
      <c r="AM118" s="10">
        <v>4.903</v>
      </c>
      <c r="AN118" s="14">
        <v>0.919354838709677</v>
      </c>
      <c r="AO118" s="18">
        <v>41</v>
      </c>
      <c r="AP118" s="18">
        <v>41</v>
      </c>
      <c r="AQ118" s="18">
        <v>0</v>
      </c>
      <c r="AR118" s="14">
        <v>0</v>
      </c>
    </row>
    <row r="119" spans="1:44">
      <c r="A119" s="3" t="s">
        <v>44</v>
      </c>
      <c r="B119" s="3" t="s">
        <v>45</v>
      </c>
      <c r="C119" s="4" t="s">
        <v>49</v>
      </c>
      <c r="D119" s="4" t="s">
        <v>64</v>
      </c>
      <c r="E119" s="30">
        <v>2</v>
      </c>
      <c r="F119" s="10">
        <v>377.513</v>
      </c>
      <c r="G119" s="10">
        <v>7.396</v>
      </c>
      <c r="H119" s="10">
        <v>51.0428610059492</v>
      </c>
      <c r="I119" s="10">
        <v>-79.356764801142</v>
      </c>
      <c r="J119" s="10">
        <v>8.79124711038114</v>
      </c>
      <c r="K119" s="14">
        <v>0.946006723256635</v>
      </c>
      <c r="L119" s="14">
        <v>0.947019816722182</v>
      </c>
      <c r="M119" s="10">
        <v>7.57027209080301</v>
      </c>
      <c r="N119" s="10">
        <v>9.705</v>
      </c>
      <c r="O119" s="14">
        <v>0.974329054842474</v>
      </c>
      <c r="P119" s="18">
        <v>310</v>
      </c>
      <c r="Q119" s="18">
        <v>310</v>
      </c>
      <c r="R119" s="18">
        <v>0</v>
      </c>
      <c r="S119" s="14">
        <v>0</v>
      </c>
      <c r="T119" s="10">
        <v>4.62368562777117</v>
      </c>
      <c r="U119" s="10">
        <v>5.73</v>
      </c>
      <c r="V119" s="14">
        <v>0.990267113658484</v>
      </c>
      <c r="W119" s="18">
        <v>308</v>
      </c>
      <c r="X119" s="18">
        <v>308</v>
      </c>
      <c r="Y119" s="18">
        <v>0</v>
      </c>
      <c r="Z119" s="14">
        <v>0</v>
      </c>
      <c r="AA119" s="10">
        <v>-79.7674264253299</v>
      </c>
      <c r="AB119" s="10">
        <v>8.16121589901414</v>
      </c>
      <c r="AC119" s="14">
        <v>0.946429502894998</v>
      </c>
      <c r="AD119" s="14">
        <v>0.94705544833342</v>
      </c>
      <c r="AE119" s="10">
        <v>7.59752824287029</v>
      </c>
      <c r="AF119" s="10">
        <v>9.683</v>
      </c>
      <c r="AG119" s="14">
        <v>0.976632934682613</v>
      </c>
      <c r="AH119" s="18">
        <v>310</v>
      </c>
      <c r="AI119" s="18">
        <v>310</v>
      </c>
      <c r="AJ119" s="18">
        <v>0</v>
      </c>
      <c r="AK119" s="14">
        <v>0</v>
      </c>
      <c r="AL119" s="10">
        <v>4.60610097192225</v>
      </c>
      <c r="AM119" s="10">
        <v>5.623</v>
      </c>
      <c r="AN119" s="14">
        <v>0.99154067674586</v>
      </c>
      <c r="AO119" s="18">
        <v>308</v>
      </c>
      <c r="AP119" s="18">
        <v>308</v>
      </c>
      <c r="AQ119" s="18">
        <v>0</v>
      </c>
      <c r="AR119" s="14">
        <v>0</v>
      </c>
    </row>
    <row r="120" spans="1:44">
      <c r="A120" s="3" t="s">
        <v>51</v>
      </c>
      <c r="B120" s="4" t="s">
        <v>62</v>
      </c>
      <c r="C120" s="4" t="s">
        <v>46</v>
      </c>
      <c r="D120" s="4" t="s">
        <v>53</v>
      </c>
      <c r="E120" s="31">
        <v>2</v>
      </c>
      <c r="F120" s="11" t="s">
        <v>54</v>
      </c>
      <c r="G120" s="11">
        <v>0.381675</v>
      </c>
      <c r="H120" s="11" t="s">
        <v>54</v>
      </c>
      <c r="I120" s="11">
        <v>-79.3550078879277</v>
      </c>
      <c r="J120" s="11">
        <v>9.51494962923756</v>
      </c>
      <c r="K120" s="15">
        <v>1</v>
      </c>
      <c r="L120" s="15">
        <v>1</v>
      </c>
      <c r="M120" s="11">
        <v>7.27732968333333</v>
      </c>
      <c r="N120" s="11">
        <v>8.65058</v>
      </c>
      <c r="O120" s="15">
        <v>0.99</v>
      </c>
      <c r="P120" s="19">
        <v>10</v>
      </c>
      <c r="Q120" s="19">
        <v>10</v>
      </c>
      <c r="R120" s="19">
        <v>0</v>
      </c>
      <c r="S120" s="15">
        <v>0</v>
      </c>
      <c r="T120" s="11">
        <v>4.65833904666667</v>
      </c>
      <c r="U120" s="11">
        <v>5.39683</v>
      </c>
      <c r="V120" s="15">
        <v>1</v>
      </c>
      <c r="W120" s="19">
        <v>10</v>
      </c>
      <c r="X120" s="19">
        <v>10</v>
      </c>
      <c r="Y120" s="19">
        <v>0</v>
      </c>
      <c r="Z120" s="15">
        <v>0</v>
      </c>
      <c r="AA120" s="11"/>
      <c r="AB120" s="11"/>
      <c r="AC120" s="15"/>
      <c r="AD120" s="15"/>
      <c r="AE120" s="11"/>
      <c r="AF120" s="11"/>
      <c r="AG120" s="15"/>
      <c r="AH120" s="19"/>
      <c r="AI120" s="19"/>
      <c r="AJ120" s="19"/>
      <c r="AK120" s="15"/>
      <c r="AL120" s="11"/>
      <c r="AM120" s="11"/>
      <c r="AN120" s="15"/>
      <c r="AO120" s="19"/>
      <c r="AP120" s="19"/>
      <c r="AQ120" s="19"/>
      <c r="AR120" s="15"/>
    </row>
    <row r="121" spans="1:44">
      <c r="A121" s="3" t="s">
        <v>51</v>
      </c>
      <c r="B121" s="5" t="s">
        <v>63</v>
      </c>
      <c r="C121" s="6" t="s">
        <v>49</v>
      </c>
      <c r="D121" s="6" t="s">
        <v>61</v>
      </c>
      <c r="E121" s="31">
        <v>3</v>
      </c>
      <c r="F121" s="11">
        <v>2.23328234964609</v>
      </c>
      <c r="G121" s="11">
        <v>0.601380555555555</v>
      </c>
      <c r="H121" s="11">
        <v>3.71359254803805</v>
      </c>
      <c r="I121" s="11">
        <v>-79.3192922446339</v>
      </c>
      <c r="J121" s="11">
        <v>12.2799106499085</v>
      </c>
      <c r="K121" s="15">
        <v>0.992881575298142</v>
      </c>
      <c r="L121" s="15">
        <v>0.992881575298142</v>
      </c>
      <c r="M121" s="11">
        <v>8.42989829166667</v>
      </c>
      <c r="N121" s="11">
        <v>9.59172</v>
      </c>
      <c r="O121" s="15">
        <v>1</v>
      </c>
      <c r="P121" s="19">
        <v>16</v>
      </c>
      <c r="Q121" s="19">
        <v>16</v>
      </c>
      <c r="R121" s="19">
        <v>0</v>
      </c>
      <c r="S121" s="15">
        <v>0</v>
      </c>
      <c r="T121" s="11">
        <v>4.68031896041667</v>
      </c>
      <c r="U121" s="11">
        <v>6.11055</v>
      </c>
      <c r="V121" s="15">
        <v>1</v>
      </c>
      <c r="W121" s="19">
        <v>16</v>
      </c>
      <c r="X121" s="19">
        <v>16</v>
      </c>
      <c r="Y121" s="19">
        <v>0</v>
      </c>
      <c r="Z121" s="15">
        <v>0</v>
      </c>
      <c r="AA121" s="11">
        <v>-80.0505962939488</v>
      </c>
      <c r="AB121" s="11">
        <v>11.6472651604627</v>
      </c>
      <c r="AC121" s="15">
        <v>1</v>
      </c>
      <c r="AD121" s="15">
        <v>1</v>
      </c>
      <c r="AE121" s="11">
        <v>8.43262544213901</v>
      </c>
      <c r="AF121" s="11">
        <v>9.1030288</v>
      </c>
      <c r="AG121" s="15">
        <v>1</v>
      </c>
      <c r="AH121" s="19">
        <v>16</v>
      </c>
      <c r="AI121" s="19">
        <v>16</v>
      </c>
      <c r="AJ121" s="19">
        <v>0</v>
      </c>
      <c r="AK121" s="15">
        <v>0</v>
      </c>
      <c r="AL121" s="11">
        <v>4.67510798930186</v>
      </c>
      <c r="AM121" s="11">
        <v>4.94016666666667</v>
      </c>
      <c r="AN121" s="15">
        <v>1</v>
      </c>
      <c r="AO121" s="19">
        <v>16</v>
      </c>
      <c r="AP121" s="19">
        <v>16</v>
      </c>
      <c r="AQ121" s="19">
        <v>0</v>
      </c>
      <c r="AR121" s="15">
        <v>0</v>
      </c>
    </row>
    <row r="122" spans="1:44">
      <c r="A122" s="3" t="s">
        <v>51</v>
      </c>
      <c r="B122" s="5" t="s">
        <v>63</v>
      </c>
      <c r="C122" s="5" t="s">
        <v>46</v>
      </c>
      <c r="D122" s="5" t="s">
        <v>53</v>
      </c>
      <c r="E122" s="31">
        <v>1</v>
      </c>
      <c r="F122" s="11"/>
      <c r="G122" s="11">
        <v>0.370997222222222</v>
      </c>
      <c r="H122" s="11" t="s">
        <v>54</v>
      </c>
      <c r="I122" s="11">
        <v>-79.2747470976696</v>
      </c>
      <c r="J122" s="11">
        <v>21.531161041028</v>
      </c>
      <c r="K122" s="15">
        <v>0.977002855854502</v>
      </c>
      <c r="L122" s="15">
        <v>0.99924845934165</v>
      </c>
      <c r="M122" s="11">
        <v>6.32603378333333</v>
      </c>
      <c r="N122" s="11">
        <v>7.13389</v>
      </c>
      <c r="O122" s="15">
        <v>1</v>
      </c>
      <c r="P122" s="19">
        <v>10</v>
      </c>
      <c r="Q122" s="19">
        <v>10</v>
      </c>
      <c r="R122" s="19">
        <v>0</v>
      </c>
      <c r="S122" s="15">
        <v>0</v>
      </c>
      <c r="T122" s="11">
        <v>0.904213116666667</v>
      </c>
      <c r="U122" s="11">
        <v>0.971301</v>
      </c>
      <c r="V122" s="15">
        <v>0.99</v>
      </c>
      <c r="W122" s="19">
        <v>10</v>
      </c>
      <c r="X122" s="19">
        <v>10</v>
      </c>
      <c r="Y122" s="19">
        <v>0</v>
      </c>
      <c r="Z122" s="15">
        <v>0</v>
      </c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</row>
    <row r="123" spans="1:44">
      <c r="A123" s="3" t="s">
        <v>51</v>
      </c>
      <c r="B123" s="5" t="s">
        <v>63</v>
      </c>
      <c r="C123" s="6" t="s">
        <v>49</v>
      </c>
      <c r="D123" s="6" t="s">
        <v>61</v>
      </c>
      <c r="E123" s="31">
        <v>1</v>
      </c>
      <c r="F123" s="11">
        <v>2.23328234964609</v>
      </c>
      <c r="G123" s="11">
        <v>0.601547222222222</v>
      </c>
      <c r="H123" s="11">
        <v>3.71256364778138</v>
      </c>
      <c r="I123" s="11">
        <v>-78.8710765148708</v>
      </c>
      <c r="J123" s="11">
        <v>13.0133474382486</v>
      </c>
      <c r="K123" s="15">
        <v>0.940363568911148</v>
      </c>
      <c r="L123" s="15">
        <v>0.943516972732332</v>
      </c>
      <c r="M123" s="11">
        <v>6.28725346458333</v>
      </c>
      <c r="N123" s="11">
        <v>9.49153</v>
      </c>
      <c r="O123" s="15">
        <v>0.95</v>
      </c>
      <c r="P123" s="19">
        <v>16</v>
      </c>
      <c r="Q123" s="19">
        <v>16</v>
      </c>
      <c r="R123" s="19">
        <v>0</v>
      </c>
      <c r="S123" s="15">
        <v>0</v>
      </c>
      <c r="T123" s="11">
        <v>1.59937514375</v>
      </c>
      <c r="U123" s="11">
        <v>4.6034</v>
      </c>
      <c r="V123" s="15">
        <v>0.954166666666667</v>
      </c>
      <c r="W123" s="19">
        <v>16</v>
      </c>
      <c r="X123" s="19">
        <v>16</v>
      </c>
      <c r="Y123" s="19">
        <v>0</v>
      </c>
      <c r="Z123" s="15">
        <v>0</v>
      </c>
      <c r="AA123" s="11">
        <v>-79.5575409943991</v>
      </c>
      <c r="AB123" s="11">
        <v>11.9055805114631</v>
      </c>
      <c r="AC123" s="15">
        <v>0.944954128440367</v>
      </c>
      <c r="AD123" s="15">
        <v>0.944954128440367</v>
      </c>
      <c r="AE123" s="11">
        <v>6.30721168423778</v>
      </c>
      <c r="AF123" s="11">
        <v>9.3698525</v>
      </c>
      <c r="AG123" s="15">
        <v>0.976190476190476</v>
      </c>
      <c r="AH123" s="19">
        <v>16</v>
      </c>
      <c r="AI123" s="19">
        <v>16</v>
      </c>
      <c r="AJ123" s="19">
        <v>0</v>
      </c>
      <c r="AK123" s="15">
        <v>0</v>
      </c>
      <c r="AL123" s="11">
        <v>1.77574198849898</v>
      </c>
      <c r="AM123" s="11">
        <v>4.47964033333333</v>
      </c>
      <c r="AN123" s="15">
        <v>0.972972972972973</v>
      </c>
      <c r="AO123" s="19">
        <v>16</v>
      </c>
      <c r="AP123" s="19">
        <v>16</v>
      </c>
      <c r="AQ123" s="19">
        <v>0</v>
      </c>
      <c r="AR123" s="15">
        <v>0</v>
      </c>
    </row>
    <row r="124" spans="1:44">
      <c r="A124" s="3" t="s">
        <v>51</v>
      </c>
      <c r="B124" s="4" t="s">
        <v>62</v>
      </c>
      <c r="C124" s="4" t="s">
        <v>49</v>
      </c>
      <c r="D124" s="4" t="s">
        <v>64</v>
      </c>
      <c r="E124" s="30">
        <v>2</v>
      </c>
      <c r="F124" s="11">
        <v>215.536248817086</v>
      </c>
      <c r="G124" s="11">
        <v>8.31208055555556</v>
      </c>
      <c r="H124" s="11">
        <v>25.9304812286772</v>
      </c>
      <c r="I124" s="11">
        <v>-78.7211368527391</v>
      </c>
      <c r="J124" s="11">
        <v>8.24004909777857</v>
      </c>
      <c r="K124" s="15">
        <v>0.964245156868411</v>
      </c>
      <c r="L124" s="15">
        <v>0.964688648626855</v>
      </c>
      <c r="M124" s="11">
        <v>6.51447522708853</v>
      </c>
      <c r="N124" s="11">
        <v>9.49264</v>
      </c>
      <c r="O124" s="15">
        <v>0.923316708229426</v>
      </c>
      <c r="P124" s="19">
        <v>216</v>
      </c>
      <c r="Q124" s="19">
        <v>215</v>
      </c>
      <c r="R124" s="19">
        <v>1</v>
      </c>
      <c r="S124" s="15">
        <v>0.00465116279069767</v>
      </c>
      <c r="T124" s="11">
        <v>4.28869957176471</v>
      </c>
      <c r="U124" s="11">
        <v>5.14056</v>
      </c>
      <c r="V124" s="15">
        <v>0.988862745098039</v>
      </c>
      <c r="W124" s="19">
        <v>215</v>
      </c>
      <c r="X124" s="19">
        <v>214</v>
      </c>
      <c r="Y124" s="19">
        <v>1</v>
      </c>
      <c r="Z124" s="15">
        <v>0.00467289719626168</v>
      </c>
      <c r="AA124" s="11">
        <v>-77.9314040092704</v>
      </c>
      <c r="AB124" s="11">
        <v>8.08359296685911</v>
      </c>
      <c r="AC124" s="15">
        <v>0.96478640026493</v>
      </c>
      <c r="AD124" s="15">
        <v>0.965338337564853</v>
      </c>
      <c r="AE124" s="11">
        <v>6.69098251356663</v>
      </c>
      <c r="AF124" s="11">
        <v>9.371291</v>
      </c>
      <c r="AG124" s="15">
        <v>0.947243346007605</v>
      </c>
      <c r="AH124" s="19">
        <v>216</v>
      </c>
      <c r="AI124" s="19">
        <v>215</v>
      </c>
      <c r="AJ124" s="19">
        <v>1</v>
      </c>
      <c r="AK124" s="15">
        <v>0.00465116279069767</v>
      </c>
      <c r="AL124" s="11">
        <v>4.31523405696223</v>
      </c>
      <c r="AM124" s="11">
        <v>5.104685</v>
      </c>
      <c r="AN124" s="15">
        <v>0.990426041168023</v>
      </c>
      <c r="AO124" s="19">
        <v>215</v>
      </c>
      <c r="AP124" s="19">
        <v>214</v>
      </c>
      <c r="AQ124" s="19">
        <v>1</v>
      </c>
      <c r="AR124" s="15">
        <v>0.00467289719626168</v>
      </c>
    </row>
    <row r="125" spans="1:44">
      <c r="A125" s="3" t="s">
        <v>44</v>
      </c>
      <c r="B125" s="3" t="s">
        <v>56</v>
      </c>
      <c r="C125" s="4" t="s">
        <v>49</v>
      </c>
      <c r="D125" s="4" t="s">
        <v>64</v>
      </c>
      <c r="E125" s="30">
        <v>2</v>
      </c>
      <c r="F125" s="10">
        <v>260.206</v>
      </c>
      <c r="G125" s="10">
        <v>5.471</v>
      </c>
      <c r="H125" s="10">
        <v>47.5609577773716</v>
      </c>
      <c r="I125" s="10">
        <v>-78.6890682674299</v>
      </c>
      <c r="J125" s="10">
        <v>7.7572572023822</v>
      </c>
      <c r="K125" s="14">
        <v>0.922704602369578</v>
      </c>
      <c r="L125" s="14">
        <v>0.923199141396073</v>
      </c>
      <c r="M125" s="10">
        <v>7.66247934608086</v>
      </c>
      <c r="N125" s="10">
        <v>9.812</v>
      </c>
      <c r="O125" s="14">
        <v>0.961027587213545</v>
      </c>
      <c r="P125" s="18">
        <v>225</v>
      </c>
      <c r="Q125" s="18">
        <v>225</v>
      </c>
      <c r="R125" s="18">
        <v>0</v>
      </c>
      <c r="S125" s="14">
        <v>0</v>
      </c>
      <c r="T125" s="10">
        <v>4.57868105766358</v>
      </c>
      <c r="U125" s="10">
        <v>5.634</v>
      </c>
      <c r="V125" s="14">
        <v>0.98565879892441</v>
      </c>
      <c r="W125" s="18">
        <v>223</v>
      </c>
      <c r="X125" s="18">
        <v>223</v>
      </c>
      <c r="Y125" s="18">
        <v>0</v>
      </c>
      <c r="Z125" s="14">
        <v>0</v>
      </c>
      <c r="AA125" s="10">
        <v>-79.1797619708536</v>
      </c>
      <c r="AB125" s="10">
        <v>7.7749333795975</v>
      </c>
      <c r="AC125" s="14">
        <v>0.94147582697201</v>
      </c>
      <c r="AD125" s="14">
        <v>0.941784254761354</v>
      </c>
      <c r="AE125" s="10">
        <v>7.65021532091097</v>
      </c>
      <c r="AF125" s="10">
        <v>9.75</v>
      </c>
      <c r="AG125" s="14">
        <v>0.97075569358178</v>
      </c>
      <c r="AH125" s="18">
        <v>225</v>
      </c>
      <c r="AI125" s="18">
        <v>225</v>
      </c>
      <c r="AJ125" s="18">
        <v>0</v>
      </c>
      <c r="AK125" s="14">
        <v>0</v>
      </c>
      <c r="AL125" s="10">
        <v>4.56535610502167</v>
      </c>
      <c r="AM125" s="10">
        <v>5.57</v>
      </c>
      <c r="AN125" s="14">
        <v>0.984960489421361</v>
      </c>
      <c r="AO125" s="18">
        <v>223</v>
      </c>
      <c r="AP125" s="18">
        <v>223</v>
      </c>
      <c r="AQ125" s="18">
        <v>0</v>
      </c>
      <c r="AR125" s="14">
        <v>0</v>
      </c>
    </row>
    <row r="126" spans="1:44">
      <c r="A126" s="3" t="s">
        <v>44</v>
      </c>
      <c r="B126" s="7" t="s">
        <v>60</v>
      </c>
      <c r="C126" s="4" t="s">
        <v>49</v>
      </c>
      <c r="D126" s="5" t="s">
        <v>50</v>
      </c>
      <c r="E126" s="29">
        <v>1</v>
      </c>
      <c r="F126" s="10">
        <v>2.445</v>
      </c>
      <c r="G126" s="10">
        <v>0.277</v>
      </c>
      <c r="H126" s="10">
        <v>8.82671480144404</v>
      </c>
      <c r="I126" s="10">
        <v>-78.6713260913706</v>
      </c>
      <c r="J126" s="10">
        <v>1.04063939086294</v>
      </c>
      <c r="K126" s="14">
        <v>0.829035532994924</v>
      </c>
      <c r="L126" s="14">
        <v>0.829035532994924</v>
      </c>
      <c r="M126" s="10">
        <v>6.63498369565217</v>
      </c>
      <c r="N126" s="10">
        <v>8.724</v>
      </c>
      <c r="O126" s="14">
        <v>0.910326086956522</v>
      </c>
      <c r="P126" s="18">
        <v>12</v>
      </c>
      <c r="Q126" s="18">
        <v>12</v>
      </c>
      <c r="R126" s="18">
        <v>0</v>
      </c>
      <c r="S126" s="14">
        <v>0</v>
      </c>
      <c r="T126" s="10">
        <v>4.47524556213018</v>
      </c>
      <c r="U126" s="10">
        <v>5.767</v>
      </c>
      <c r="V126" s="14">
        <v>0.955621301775148</v>
      </c>
      <c r="W126" s="18">
        <v>12</v>
      </c>
      <c r="X126" s="18">
        <v>11</v>
      </c>
      <c r="Y126" s="18">
        <v>0</v>
      </c>
      <c r="Z126" s="14">
        <v>0</v>
      </c>
      <c r="AA126" s="10">
        <v>-79.1744675324675</v>
      </c>
      <c r="AB126" s="10">
        <v>0.920350649350649</v>
      </c>
      <c r="AC126" s="14">
        <v>0.785714285714286</v>
      </c>
      <c r="AD126" s="14">
        <v>0.785714285714286</v>
      </c>
      <c r="AE126" s="10">
        <v>6.30849152542373</v>
      </c>
      <c r="AF126" s="10">
        <v>8.527</v>
      </c>
      <c r="AG126" s="14">
        <v>0.915254237288136</v>
      </c>
      <c r="AH126" s="18">
        <v>12</v>
      </c>
      <c r="AI126" s="18">
        <v>12</v>
      </c>
      <c r="AJ126" s="18">
        <v>0</v>
      </c>
      <c r="AK126" s="14">
        <v>0</v>
      </c>
      <c r="AL126" s="10">
        <v>4.43016981132075</v>
      </c>
      <c r="AM126" s="10">
        <v>5.437</v>
      </c>
      <c r="AN126" s="14">
        <v>1</v>
      </c>
      <c r="AO126" s="18">
        <v>12</v>
      </c>
      <c r="AP126" s="18">
        <v>11</v>
      </c>
      <c r="AQ126" s="18">
        <v>0</v>
      </c>
      <c r="AR126" s="14">
        <v>0</v>
      </c>
    </row>
    <row r="127" spans="1:44">
      <c r="A127" s="3" t="s">
        <v>51</v>
      </c>
      <c r="B127" s="5" t="s">
        <v>55</v>
      </c>
      <c r="C127" s="5" t="s">
        <v>49</v>
      </c>
      <c r="D127" s="5" t="s">
        <v>64</v>
      </c>
      <c r="E127" s="31">
        <v>1</v>
      </c>
      <c r="F127" s="11">
        <v>208.331352421343</v>
      </c>
      <c r="G127" s="11">
        <v>8.22515277777778</v>
      </c>
      <c r="H127" s="11">
        <v>25.3285693348092</v>
      </c>
      <c r="I127" s="11">
        <v>-78.5617913755198</v>
      </c>
      <c r="J127" s="11">
        <v>10.7385795999374</v>
      </c>
      <c r="K127" s="15">
        <v>0.964020291001323</v>
      </c>
      <c r="L127" s="15">
        <v>0.967061213914609</v>
      </c>
      <c r="M127" s="11">
        <v>6.06616345392597</v>
      </c>
      <c r="N127" s="11">
        <v>8.71521</v>
      </c>
      <c r="O127" s="15">
        <v>0.952609571008208</v>
      </c>
      <c r="P127" s="19">
        <v>218</v>
      </c>
      <c r="Q127" s="19">
        <v>215</v>
      </c>
      <c r="R127" s="19">
        <v>2</v>
      </c>
      <c r="S127" s="15">
        <v>0.00930232558139535</v>
      </c>
      <c r="T127" s="11">
        <v>2.24787043384946</v>
      </c>
      <c r="U127" s="11">
        <v>4.49087</v>
      </c>
      <c r="V127" s="15">
        <v>0.871838111298482</v>
      </c>
      <c r="W127" s="19">
        <v>220</v>
      </c>
      <c r="X127" s="19">
        <v>219</v>
      </c>
      <c r="Y127" s="19">
        <v>1</v>
      </c>
      <c r="Z127" s="15">
        <v>0.0045662100456621</v>
      </c>
      <c r="AA127" s="11">
        <v>-79.0573102970464</v>
      </c>
      <c r="AB127" s="11">
        <v>10.0635643763704</v>
      </c>
      <c r="AC127" s="15">
        <v>0.96313533374158</v>
      </c>
      <c r="AD127" s="15">
        <v>0.965952235150031</v>
      </c>
      <c r="AE127" s="11">
        <v>6.14738611854671</v>
      </c>
      <c r="AF127" s="11">
        <v>8.6654365</v>
      </c>
      <c r="AG127" s="15">
        <v>0.958979489744872</v>
      </c>
      <c r="AH127" s="19">
        <v>218</v>
      </c>
      <c r="AI127" s="19">
        <v>215</v>
      </c>
      <c r="AJ127" s="19">
        <v>2</v>
      </c>
      <c r="AK127" s="15">
        <v>0.00930232558139535</v>
      </c>
      <c r="AL127" s="11">
        <v>2.49913054186886</v>
      </c>
      <c r="AM127" s="11">
        <v>4.4845965</v>
      </c>
      <c r="AN127" s="15">
        <v>0.914841849148418</v>
      </c>
      <c r="AO127" s="19">
        <v>220</v>
      </c>
      <c r="AP127" s="19">
        <v>219</v>
      </c>
      <c r="AQ127" s="19">
        <v>1</v>
      </c>
      <c r="AR127" s="15">
        <v>0.0045662100456621</v>
      </c>
    </row>
    <row r="128" spans="1:44">
      <c r="A128" s="3" t="s">
        <v>51</v>
      </c>
      <c r="B128" s="4" t="s">
        <v>62</v>
      </c>
      <c r="C128" s="4" t="s">
        <v>46</v>
      </c>
      <c r="D128" s="4" t="s">
        <v>53</v>
      </c>
      <c r="E128" s="31">
        <v>1</v>
      </c>
      <c r="F128" s="11" t="s">
        <v>54</v>
      </c>
      <c r="G128" s="11">
        <v>0.382027777777778</v>
      </c>
      <c r="H128" s="11" t="s">
        <v>54</v>
      </c>
      <c r="I128" s="11">
        <v>-78.3123930639876</v>
      </c>
      <c r="J128" s="11">
        <v>9.23879312324081</v>
      </c>
      <c r="K128" s="15">
        <v>0.999854312354312</v>
      </c>
      <c r="L128" s="15">
        <v>0.999854312354312</v>
      </c>
      <c r="M128" s="11">
        <v>7.59080111666667</v>
      </c>
      <c r="N128" s="11">
        <v>8.35489</v>
      </c>
      <c r="O128" s="15">
        <v>0.996666666666667</v>
      </c>
      <c r="P128" s="19">
        <v>10</v>
      </c>
      <c r="Q128" s="19">
        <v>10</v>
      </c>
      <c r="R128" s="19">
        <v>0</v>
      </c>
      <c r="S128" s="15">
        <v>0</v>
      </c>
      <c r="T128" s="11">
        <v>3.87444</v>
      </c>
      <c r="U128" s="11">
        <v>5.41833</v>
      </c>
      <c r="V128" s="15">
        <v>0.979933110367893</v>
      </c>
      <c r="W128" s="19">
        <v>10</v>
      </c>
      <c r="X128" s="19">
        <v>10</v>
      </c>
      <c r="Y128" s="19">
        <v>0</v>
      </c>
      <c r="Z128" s="15">
        <v>0</v>
      </c>
      <c r="AA128" s="11"/>
      <c r="AB128" s="11"/>
      <c r="AC128" s="15"/>
      <c r="AD128" s="15"/>
      <c r="AE128" s="11"/>
      <c r="AF128" s="11"/>
      <c r="AG128" s="15"/>
      <c r="AH128" s="19"/>
      <c r="AI128" s="19"/>
      <c r="AJ128" s="19"/>
      <c r="AK128" s="15"/>
      <c r="AL128" s="11"/>
      <c r="AM128" s="11"/>
      <c r="AN128" s="15"/>
      <c r="AO128" s="19"/>
      <c r="AP128" s="19"/>
      <c r="AQ128" s="19"/>
      <c r="AR128" s="15"/>
    </row>
    <row r="129" spans="1:44">
      <c r="A129" s="3" t="s">
        <v>44</v>
      </c>
      <c r="B129" s="3" t="s">
        <v>45</v>
      </c>
      <c r="C129" s="4" t="s">
        <v>49</v>
      </c>
      <c r="D129" s="5" t="s">
        <v>50</v>
      </c>
      <c r="E129" s="29">
        <v>1</v>
      </c>
      <c r="F129" s="10">
        <v>2.794</v>
      </c>
      <c r="G129" s="10">
        <v>0.973</v>
      </c>
      <c r="H129" s="10">
        <v>2.87153134635149</v>
      </c>
      <c r="I129" s="10">
        <v>-78.2387108944222</v>
      </c>
      <c r="J129" s="10">
        <v>6.57722851007023</v>
      </c>
      <c r="K129" s="14">
        <v>0.941610076034593</v>
      </c>
      <c r="L129" s="14">
        <v>0.942074409425968</v>
      </c>
      <c r="M129" s="10">
        <v>7.18989391447368</v>
      </c>
      <c r="N129" s="10">
        <v>8.247</v>
      </c>
      <c r="O129" s="14">
        <v>0.970394736842105</v>
      </c>
      <c r="P129" s="18">
        <v>40</v>
      </c>
      <c r="Q129" s="18">
        <v>40</v>
      </c>
      <c r="R129" s="18">
        <v>0</v>
      </c>
      <c r="S129" s="14">
        <v>0</v>
      </c>
      <c r="T129" s="10">
        <v>4.41962641815235</v>
      </c>
      <c r="U129" s="10">
        <v>5.787</v>
      </c>
      <c r="V129" s="14">
        <v>0.946515397082658</v>
      </c>
      <c r="W129" s="18">
        <v>41</v>
      </c>
      <c r="X129" s="18">
        <v>41</v>
      </c>
      <c r="Y129" s="18">
        <v>0</v>
      </c>
      <c r="Z129" s="14">
        <v>0</v>
      </c>
      <c r="AA129" s="10">
        <v>-78.1662524271845</v>
      </c>
      <c r="AB129" s="10">
        <v>6.91159708737864</v>
      </c>
      <c r="AC129" s="14">
        <v>0.985436893203884</v>
      </c>
      <c r="AD129" s="14">
        <v>0.985436893203884</v>
      </c>
      <c r="AE129" s="10">
        <v>7.12561842105263</v>
      </c>
      <c r="AF129" s="10">
        <v>8.071</v>
      </c>
      <c r="AG129" s="14">
        <v>1</v>
      </c>
      <c r="AH129" s="18">
        <v>40</v>
      </c>
      <c r="AI129" s="18">
        <v>40</v>
      </c>
      <c r="AJ129" s="18">
        <v>0</v>
      </c>
      <c r="AK129" s="14">
        <v>0</v>
      </c>
      <c r="AL129" s="10">
        <v>4.49218390804598</v>
      </c>
      <c r="AM129" s="10">
        <v>5.176</v>
      </c>
      <c r="AN129" s="14">
        <v>1</v>
      </c>
      <c r="AO129" s="18">
        <v>41</v>
      </c>
      <c r="AP129" s="18">
        <v>41</v>
      </c>
      <c r="AQ129" s="18">
        <v>0</v>
      </c>
      <c r="AR129" s="14">
        <v>0</v>
      </c>
    </row>
    <row r="130" spans="1:44">
      <c r="A130" s="3" t="s">
        <v>44</v>
      </c>
      <c r="B130" s="3" t="s">
        <v>48</v>
      </c>
      <c r="C130" s="4" t="s">
        <v>49</v>
      </c>
      <c r="D130" s="4" t="s">
        <v>64</v>
      </c>
      <c r="E130" s="29">
        <v>2</v>
      </c>
      <c r="F130" s="10">
        <v>215.446</v>
      </c>
      <c r="G130" s="10">
        <v>6.281</v>
      </c>
      <c r="H130" s="10">
        <v>34.3012259194396</v>
      </c>
      <c r="I130" s="10">
        <v>-78.139605728142</v>
      </c>
      <c r="J130" s="10">
        <v>7.30773311067393</v>
      </c>
      <c r="K130" s="14">
        <v>0.924975980235165</v>
      </c>
      <c r="L130" s="14">
        <v>0.925241341446676</v>
      </c>
      <c r="M130" s="10">
        <v>7.97277008928571</v>
      </c>
      <c r="N130" s="10">
        <v>9.739</v>
      </c>
      <c r="O130" s="14">
        <v>0.979910714285714</v>
      </c>
      <c r="P130" s="18">
        <v>265</v>
      </c>
      <c r="Q130" s="18">
        <v>265</v>
      </c>
      <c r="R130" s="18">
        <v>0</v>
      </c>
      <c r="S130" s="14">
        <v>0</v>
      </c>
      <c r="T130" s="10">
        <v>4.58863799598192</v>
      </c>
      <c r="U130" s="10">
        <v>5.762</v>
      </c>
      <c r="V130" s="14">
        <v>0.989201406328478</v>
      </c>
      <c r="W130" s="18">
        <v>265</v>
      </c>
      <c r="X130" s="18">
        <v>265</v>
      </c>
      <c r="Y130" s="18">
        <v>0</v>
      </c>
      <c r="Z130" s="14">
        <v>0</v>
      </c>
      <c r="AA130" s="10">
        <v>-78.6722407148841</v>
      </c>
      <c r="AB130" s="10">
        <v>6.79773471097459</v>
      </c>
      <c r="AC130" s="14">
        <v>0.933445033975612</v>
      </c>
      <c r="AD130" s="14">
        <v>0.933631201712743</v>
      </c>
      <c r="AE130" s="10">
        <v>7.89596388805296</v>
      </c>
      <c r="AF130" s="10">
        <v>9.647</v>
      </c>
      <c r="AG130" s="14">
        <v>0.983147758049955</v>
      </c>
      <c r="AH130" s="18">
        <v>265</v>
      </c>
      <c r="AI130" s="18">
        <v>265</v>
      </c>
      <c r="AJ130" s="18">
        <v>0</v>
      </c>
      <c r="AK130" s="14">
        <v>0</v>
      </c>
      <c r="AL130" s="10">
        <v>4.59009979514194</v>
      </c>
      <c r="AM130" s="10">
        <v>5.606</v>
      </c>
      <c r="AN130" s="14">
        <v>0.992683640620427</v>
      </c>
      <c r="AO130" s="18">
        <v>265</v>
      </c>
      <c r="AP130" s="18">
        <v>265</v>
      </c>
      <c r="AQ130" s="18">
        <v>0</v>
      </c>
      <c r="AR130" s="14">
        <v>0</v>
      </c>
    </row>
    <row r="131" spans="1:44">
      <c r="A131" s="3" t="s">
        <v>51</v>
      </c>
      <c r="B131" s="6" t="s">
        <v>55</v>
      </c>
      <c r="C131" s="6" t="s">
        <v>49</v>
      </c>
      <c r="D131" s="6" t="s">
        <v>50</v>
      </c>
      <c r="E131" s="32">
        <v>3</v>
      </c>
      <c r="F131" s="11">
        <v>5.16537125635147</v>
      </c>
      <c r="G131" s="11">
        <v>0.448191666666667</v>
      </c>
      <c r="H131" s="11">
        <v>11.5249158797794</v>
      </c>
      <c r="I131" s="11">
        <v>-78.1388136823698</v>
      </c>
      <c r="J131" s="11">
        <v>9.96672486454199</v>
      </c>
      <c r="K131" s="15">
        <v>0.922855353788353</v>
      </c>
      <c r="L131" s="15">
        <v>0.923356293049468</v>
      </c>
      <c r="M131" s="11">
        <v>7.43636008055555</v>
      </c>
      <c r="N131" s="11">
        <v>10.0951</v>
      </c>
      <c r="O131" s="15">
        <v>0.977777777777778</v>
      </c>
      <c r="P131" s="19">
        <v>12</v>
      </c>
      <c r="Q131" s="19">
        <v>12</v>
      </c>
      <c r="R131" s="19">
        <v>0</v>
      </c>
      <c r="S131" s="15">
        <v>0</v>
      </c>
      <c r="T131" s="11">
        <v>4.34628879444444</v>
      </c>
      <c r="U131" s="11">
        <v>5.42914</v>
      </c>
      <c r="V131" s="15">
        <v>0.991666666666667</v>
      </c>
      <c r="W131" s="19">
        <v>12</v>
      </c>
      <c r="X131" s="19">
        <v>12</v>
      </c>
      <c r="Y131" s="19">
        <v>0</v>
      </c>
      <c r="Z131" s="15">
        <v>0</v>
      </c>
      <c r="AA131" s="11">
        <v>-78.0018473384113</v>
      </c>
      <c r="AB131" s="11">
        <v>10.0612434284712</v>
      </c>
      <c r="AC131" s="15">
        <v>0.942622950819672</v>
      </c>
      <c r="AD131" s="15">
        <v>0.942622950819672</v>
      </c>
      <c r="AE131" s="11">
        <v>7.35124503152582</v>
      </c>
      <c r="AF131" s="11">
        <v>10.0645495</v>
      </c>
      <c r="AG131" s="15">
        <v>1</v>
      </c>
      <c r="AH131" s="19">
        <v>12</v>
      </c>
      <c r="AI131" s="19">
        <v>12</v>
      </c>
      <c r="AJ131" s="19">
        <v>0</v>
      </c>
      <c r="AK131" s="15">
        <v>0</v>
      </c>
      <c r="AL131" s="11">
        <v>4.27859540105181</v>
      </c>
      <c r="AM131" s="11">
        <v>4.92178266666667</v>
      </c>
      <c r="AN131" s="15">
        <v>1</v>
      </c>
      <c r="AO131" s="19">
        <v>12</v>
      </c>
      <c r="AP131" s="19">
        <v>12</v>
      </c>
      <c r="AQ131" s="19">
        <v>0</v>
      </c>
      <c r="AR131" s="15">
        <v>0</v>
      </c>
    </row>
    <row r="132" spans="1:44">
      <c r="A132" s="3" t="s">
        <v>51</v>
      </c>
      <c r="B132" s="4" t="s">
        <v>58</v>
      </c>
      <c r="C132" s="6" t="s">
        <v>49</v>
      </c>
      <c r="D132" s="6" t="s">
        <v>61</v>
      </c>
      <c r="E132" s="30">
        <v>3</v>
      </c>
      <c r="F132" s="11">
        <v>2.05306912571192</v>
      </c>
      <c r="G132" s="11">
        <v>0.317227777777778</v>
      </c>
      <c r="H132" s="11">
        <v>6.47190841890939</v>
      </c>
      <c r="I132" s="11">
        <v>-78.1173841076409</v>
      </c>
      <c r="J132" s="11">
        <v>4.92869975073187</v>
      </c>
      <c r="K132" s="15">
        <v>0.805185579825963</v>
      </c>
      <c r="L132" s="15">
        <v>0.805185579825963</v>
      </c>
      <c r="M132" s="11">
        <v>6.30003541666667</v>
      </c>
      <c r="N132" s="11">
        <v>9.54512</v>
      </c>
      <c r="O132" s="15">
        <v>0.945833333333333</v>
      </c>
      <c r="P132" s="19">
        <v>8</v>
      </c>
      <c r="Q132" s="19">
        <v>8</v>
      </c>
      <c r="R132" s="19">
        <v>0</v>
      </c>
      <c r="S132" s="15">
        <v>0</v>
      </c>
      <c r="T132" s="11">
        <v>4.40383378333333</v>
      </c>
      <c r="U132" s="11">
        <v>5.70862</v>
      </c>
      <c r="V132" s="15">
        <v>0.995833333333333</v>
      </c>
      <c r="W132" s="19">
        <v>8</v>
      </c>
      <c r="X132" s="19">
        <v>8</v>
      </c>
      <c r="Y132" s="19">
        <v>0</v>
      </c>
      <c r="Z132" s="15">
        <v>0</v>
      </c>
      <c r="AA132" s="11">
        <v>-86.0661752448839</v>
      </c>
      <c r="AB132" s="11">
        <v>3.88593482460467</v>
      </c>
      <c r="AC132" s="15">
        <v>0.948453608247423</v>
      </c>
      <c r="AD132" s="15">
        <v>0.948453608247423</v>
      </c>
      <c r="AE132" s="11">
        <v>6.8002231192094</v>
      </c>
      <c r="AF132" s="11">
        <v>9.57557975</v>
      </c>
      <c r="AG132" s="15">
        <v>1</v>
      </c>
      <c r="AH132" s="19">
        <v>8</v>
      </c>
      <c r="AI132" s="19">
        <v>8</v>
      </c>
      <c r="AJ132" s="19">
        <v>0</v>
      </c>
      <c r="AK132" s="15">
        <v>0</v>
      </c>
      <c r="AL132" s="11">
        <v>4.1083971290927</v>
      </c>
      <c r="AM132" s="11">
        <v>4.79877653333333</v>
      </c>
      <c r="AN132" s="15">
        <v>1</v>
      </c>
      <c r="AO132" s="19">
        <v>8</v>
      </c>
      <c r="AP132" s="19">
        <v>8</v>
      </c>
      <c r="AQ132" s="19">
        <v>0</v>
      </c>
      <c r="AR132" s="15">
        <v>0</v>
      </c>
    </row>
    <row r="133" spans="1:44">
      <c r="A133" s="3" t="s">
        <v>44</v>
      </c>
      <c r="B133" s="3" t="s">
        <v>56</v>
      </c>
      <c r="C133" s="4" t="s">
        <v>46</v>
      </c>
      <c r="D133" s="5" t="s">
        <v>57</v>
      </c>
      <c r="E133" s="29">
        <v>3</v>
      </c>
      <c r="F133" s="10"/>
      <c r="G133" s="10">
        <v>0.244</v>
      </c>
      <c r="H133" s="10"/>
      <c r="I133" s="10">
        <v>-77.9905494530538</v>
      </c>
      <c r="J133" s="10">
        <v>6.06385574293528</v>
      </c>
      <c r="K133" s="14">
        <v>0.996809480401094</v>
      </c>
      <c r="L133" s="14">
        <v>0.996809480401094</v>
      </c>
      <c r="M133" s="10">
        <v>9.5910198019802</v>
      </c>
      <c r="N133" s="10">
        <v>9.956</v>
      </c>
      <c r="O133" s="14">
        <v>0.996699669966997</v>
      </c>
      <c r="P133" s="18">
        <v>10</v>
      </c>
      <c r="Q133" s="18">
        <v>10</v>
      </c>
      <c r="R133" s="18">
        <v>0</v>
      </c>
      <c r="S133" s="14">
        <v>0</v>
      </c>
      <c r="T133" s="10">
        <v>4.88433110367893</v>
      </c>
      <c r="U133" s="10">
        <v>5.216</v>
      </c>
      <c r="V133" s="14">
        <v>1</v>
      </c>
      <c r="W133" s="18">
        <v>10</v>
      </c>
      <c r="X133" s="18">
        <v>10</v>
      </c>
      <c r="Y133" s="18">
        <v>0</v>
      </c>
      <c r="Z133" s="14">
        <v>0</v>
      </c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</row>
    <row r="134" spans="1:44">
      <c r="A134" s="3" t="s">
        <v>51</v>
      </c>
      <c r="B134" s="5" t="s">
        <v>63</v>
      </c>
      <c r="C134" s="5" t="s">
        <v>46</v>
      </c>
      <c r="D134" s="5" t="s">
        <v>53</v>
      </c>
      <c r="E134" s="31">
        <v>3</v>
      </c>
      <c r="F134" s="11" t="s">
        <v>54</v>
      </c>
      <c r="G134" s="11">
        <v>0.411052777777778</v>
      </c>
      <c r="H134" s="11" t="s">
        <v>54</v>
      </c>
      <c r="I134" s="11">
        <v>-77.9720741727443</v>
      </c>
      <c r="J134" s="11">
        <v>18.4573734970946</v>
      </c>
      <c r="K134" s="15">
        <v>1</v>
      </c>
      <c r="L134" s="15">
        <v>1</v>
      </c>
      <c r="M134" s="11">
        <v>9.44473653</v>
      </c>
      <c r="N134" s="11">
        <v>10.0708</v>
      </c>
      <c r="O134" s="15">
        <v>1</v>
      </c>
      <c r="P134" s="19">
        <v>10</v>
      </c>
      <c r="Q134" s="19">
        <v>10</v>
      </c>
      <c r="R134" s="19">
        <v>0</v>
      </c>
      <c r="S134" s="15">
        <v>0</v>
      </c>
      <c r="T134" s="11">
        <v>4.76214848</v>
      </c>
      <c r="U134" s="11">
        <v>6.09829</v>
      </c>
      <c r="V134" s="15">
        <v>1</v>
      </c>
      <c r="W134" s="19">
        <v>10</v>
      </c>
      <c r="X134" s="19">
        <v>10</v>
      </c>
      <c r="Y134" s="19">
        <v>0</v>
      </c>
      <c r="Z134" s="15">
        <v>0</v>
      </c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</row>
    <row r="135" spans="1:44">
      <c r="A135" s="3" t="s">
        <v>44</v>
      </c>
      <c r="B135" s="3" t="s">
        <v>59</v>
      </c>
      <c r="C135" s="4" t="s">
        <v>49</v>
      </c>
      <c r="D135" s="5" t="s">
        <v>50</v>
      </c>
      <c r="E135" s="29">
        <v>3</v>
      </c>
      <c r="F135" s="10">
        <v>2.716</v>
      </c>
      <c r="G135" s="10">
        <v>0.698</v>
      </c>
      <c r="H135" s="10">
        <v>3.89111747851003</v>
      </c>
      <c r="I135" s="10">
        <v>-77.9333447307565</v>
      </c>
      <c r="J135" s="10">
        <v>3.84828666997027</v>
      </c>
      <c r="K135" s="14">
        <v>0.848199537495871</v>
      </c>
      <c r="L135" s="14">
        <v>0.848199537495871</v>
      </c>
      <c r="M135" s="10">
        <v>5.20237104072398</v>
      </c>
      <c r="N135" s="10">
        <v>9.202</v>
      </c>
      <c r="O135" s="14">
        <v>0.632352941176471</v>
      </c>
      <c r="P135" s="18">
        <v>29</v>
      </c>
      <c r="Q135" s="18">
        <v>29</v>
      </c>
      <c r="R135" s="18">
        <v>0</v>
      </c>
      <c r="S135" s="14">
        <v>0</v>
      </c>
      <c r="T135" s="10">
        <v>4.41469333333333</v>
      </c>
      <c r="U135" s="10">
        <v>5.73</v>
      </c>
      <c r="V135" s="14">
        <v>0.977777777777778</v>
      </c>
      <c r="W135" s="18">
        <v>30</v>
      </c>
      <c r="X135" s="18">
        <v>30</v>
      </c>
      <c r="Y135" s="18">
        <v>0</v>
      </c>
      <c r="Z135" s="14">
        <v>0</v>
      </c>
      <c r="AA135" s="10">
        <v>-77.6319414893617</v>
      </c>
      <c r="AB135" s="10">
        <v>3.82171276595745</v>
      </c>
      <c r="AC135" s="14">
        <v>0.877659574468085</v>
      </c>
      <c r="AD135" s="14">
        <v>0.877659574468085</v>
      </c>
      <c r="AE135" s="10">
        <v>5.31820547945205</v>
      </c>
      <c r="AF135" s="10">
        <v>8.713</v>
      </c>
      <c r="AG135" s="14">
        <v>0.698630136986301</v>
      </c>
      <c r="AH135" s="18">
        <v>29</v>
      </c>
      <c r="AI135" s="18">
        <v>29</v>
      </c>
      <c r="AJ135" s="18">
        <v>0</v>
      </c>
      <c r="AK135" s="14">
        <v>0</v>
      </c>
      <c r="AL135" s="10">
        <v>4.45006493506494</v>
      </c>
      <c r="AM135" s="10">
        <v>5.159</v>
      </c>
      <c r="AN135" s="14">
        <v>1</v>
      </c>
      <c r="AO135" s="18">
        <v>30</v>
      </c>
      <c r="AP135" s="18">
        <v>30</v>
      </c>
      <c r="AQ135" s="18">
        <v>0</v>
      </c>
      <c r="AR135" s="14">
        <v>0</v>
      </c>
    </row>
    <row r="136" spans="1:44">
      <c r="A136" s="3" t="s">
        <v>51</v>
      </c>
      <c r="B136" s="6" t="s">
        <v>55</v>
      </c>
      <c r="C136" s="6" t="s">
        <v>49</v>
      </c>
      <c r="D136" s="6" t="s">
        <v>50</v>
      </c>
      <c r="E136" s="31">
        <v>2</v>
      </c>
      <c r="F136" s="11">
        <v>1.83603561258316</v>
      </c>
      <c r="G136" s="11">
        <v>0.400227777777778</v>
      </c>
      <c r="H136" s="11">
        <v>4.58747671832663</v>
      </c>
      <c r="I136" s="11">
        <v>-77.9291098112495</v>
      </c>
      <c r="J136" s="11">
        <v>14.103732181327</v>
      </c>
      <c r="K136" s="15">
        <v>0.990352348993289</v>
      </c>
      <c r="L136" s="15">
        <v>0.990492170022371</v>
      </c>
      <c r="M136" s="11">
        <v>9.05858791503268</v>
      </c>
      <c r="N136" s="11">
        <v>10.0848</v>
      </c>
      <c r="O136" s="15">
        <v>1</v>
      </c>
      <c r="P136" s="19">
        <v>11</v>
      </c>
      <c r="Q136" s="19">
        <v>11</v>
      </c>
      <c r="R136" s="19">
        <v>0</v>
      </c>
      <c r="S136" s="15">
        <v>0</v>
      </c>
      <c r="T136" s="11">
        <v>4.38182117666667</v>
      </c>
      <c r="U136" s="11">
        <v>5.4509</v>
      </c>
      <c r="V136" s="15">
        <v>1</v>
      </c>
      <c r="W136" s="19">
        <v>10</v>
      </c>
      <c r="X136" s="19">
        <v>10</v>
      </c>
      <c r="Y136" s="19">
        <v>0</v>
      </c>
      <c r="Z136" s="15">
        <v>0</v>
      </c>
      <c r="AA136" s="11">
        <v>-78.4884971976686</v>
      </c>
      <c r="AB136" s="11">
        <v>13.9563125621133</v>
      </c>
      <c r="AC136" s="15">
        <v>1</v>
      </c>
      <c r="AD136" s="15">
        <v>1</v>
      </c>
      <c r="AE136" s="11">
        <v>9.04987838203258</v>
      </c>
      <c r="AF136" s="11">
        <v>9.960944</v>
      </c>
      <c r="AG136" s="15">
        <v>1</v>
      </c>
      <c r="AH136" s="19">
        <v>11</v>
      </c>
      <c r="AI136" s="19">
        <v>11</v>
      </c>
      <c r="AJ136" s="19">
        <v>0</v>
      </c>
      <c r="AK136" s="15">
        <v>0</v>
      </c>
      <c r="AL136" s="11">
        <v>4.44443528835163</v>
      </c>
      <c r="AM136" s="11">
        <v>5.254818</v>
      </c>
      <c r="AN136" s="15">
        <v>1</v>
      </c>
      <c r="AO136" s="19">
        <v>10</v>
      </c>
      <c r="AP136" s="19">
        <v>10</v>
      </c>
      <c r="AQ136" s="19">
        <v>0</v>
      </c>
      <c r="AR136" s="15">
        <v>0</v>
      </c>
    </row>
    <row r="137" spans="1:44">
      <c r="A137" s="3" t="s">
        <v>44</v>
      </c>
      <c r="B137" s="7" t="s">
        <v>60</v>
      </c>
      <c r="C137" s="4" t="s">
        <v>49</v>
      </c>
      <c r="D137" s="5" t="s">
        <v>50</v>
      </c>
      <c r="E137" s="29">
        <v>1</v>
      </c>
      <c r="F137" s="10">
        <v>2.511</v>
      </c>
      <c r="G137" s="10">
        <v>0.522</v>
      </c>
      <c r="H137" s="10">
        <v>4.81034482758621</v>
      </c>
      <c r="I137" s="10">
        <v>-77.9221434518092</v>
      </c>
      <c r="J137" s="10">
        <v>6.91878012594727</v>
      </c>
      <c r="K137" s="14">
        <v>0.830504856441456</v>
      </c>
      <c r="L137" s="14">
        <v>0.830504856441456</v>
      </c>
      <c r="M137" s="10">
        <v>6.85985714285714</v>
      </c>
      <c r="N137" s="10">
        <v>8.647</v>
      </c>
      <c r="O137" s="14">
        <v>0.983630952380952</v>
      </c>
      <c r="P137" s="18">
        <v>22</v>
      </c>
      <c r="Q137" s="18">
        <v>22</v>
      </c>
      <c r="R137" s="18">
        <v>0</v>
      </c>
      <c r="S137" s="14">
        <v>0</v>
      </c>
      <c r="T137" s="10">
        <v>3.44192900302115</v>
      </c>
      <c r="U137" s="10">
        <v>5.6940002</v>
      </c>
      <c r="V137" s="14">
        <v>0.809667673716012</v>
      </c>
      <c r="W137" s="18">
        <v>22</v>
      </c>
      <c r="X137" s="18">
        <v>22</v>
      </c>
      <c r="Y137" s="18">
        <v>0</v>
      </c>
      <c r="Z137" s="14">
        <v>0</v>
      </c>
      <c r="AA137" s="10">
        <v>-78.0548447204969</v>
      </c>
      <c r="AB137" s="10">
        <v>6.56867080745342</v>
      </c>
      <c r="AC137" s="14">
        <v>0.838509316770186</v>
      </c>
      <c r="AD137" s="14">
        <v>0.838509316770186</v>
      </c>
      <c r="AE137" s="10">
        <v>6.87223728813559</v>
      </c>
      <c r="AF137" s="10">
        <v>8.442</v>
      </c>
      <c r="AG137" s="14">
        <v>1</v>
      </c>
      <c r="AH137" s="18">
        <v>22</v>
      </c>
      <c r="AI137" s="18">
        <v>22</v>
      </c>
      <c r="AJ137" s="18">
        <v>0</v>
      </c>
      <c r="AK137" s="14">
        <v>0</v>
      </c>
      <c r="AL137" s="10">
        <v>3.54141935483871</v>
      </c>
      <c r="AM137" s="10">
        <v>5.253</v>
      </c>
      <c r="AN137" s="14">
        <v>0.983870967741935</v>
      </c>
      <c r="AO137" s="18">
        <v>22</v>
      </c>
      <c r="AP137" s="18">
        <v>22</v>
      </c>
      <c r="AQ137" s="18">
        <v>0</v>
      </c>
      <c r="AR137" s="14">
        <v>0</v>
      </c>
    </row>
    <row r="138" spans="1:44">
      <c r="A138" s="3" t="s">
        <v>51</v>
      </c>
      <c r="B138" s="6" t="s">
        <v>55</v>
      </c>
      <c r="C138" s="6" t="s">
        <v>49</v>
      </c>
      <c r="D138" s="6" t="s">
        <v>61</v>
      </c>
      <c r="E138" s="34">
        <v>1</v>
      </c>
      <c r="F138" s="11">
        <v>2.15796139836311</v>
      </c>
      <c r="G138" s="11">
        <v>0.457552777777778</v>
      </c>
      <c r="H138" s="11">
        <v>4.7163114359043</v>
      </c>
      <c r="I138" s="11">
        <v>-77.8621510504265</v>
      </c>
      <c r="J138" s="11">
        <v>8.46028732668893</v>
      </c>
      <c r="K138" s="15">
        <v>0.907005426739023</v>
      </c>
      <c r="L138" s="15">
        <v>0.922915638875185</v>
      </c>
      <c r="M138" s="11">
        <v>6.07110598611111</v>
      </c>
      <c r="N138" s="11">
        <v>8.04382</v>
      </c>
      <c r="O138" s="15">
        <v>0.855555555555556</v>
      </c>
      <c r="P138" s="19">
        <v>12</v>
      </c>
      <c r="Q138" s="19">
        <v>12</v>
      </c>
      <c r="R138" s="19">
        <v>0</v>
      </c>
      <c r="S138" s="15">
        <v>0</v>
      </c>
      <c r="T138" s="11">
        <v>3.16704469722222</v>
      </c>
      <c r="U138" s="11">
        <v>4.27266</v>
      </c>
      <c r="V138" s="15">
        <v>0.983333333333333</v>
      </c>
      <c r="W138" s="19">
        <v>12</v>
      </c>
      <c r="X138" s="19">
        <v>12</v>
      </c>
      <c r="Y138" s="19">
        <v>0</v>
      </c>
      <c r="Z138" s="15">
        <v>0</v>
      </c>
      <c r="AA138" s="11">
        <v>-78.3482125734128</v>
      </c>
      <c r="AB138" s="11">
        <v>8.54064653398422</v>
      </c>
      <c r="AC138" s="15">
        <v>0.96</v>
      </c>
      <c r="AD138" s="15">
        <v>0.97</v>
      </c>
      <c r="AE138" s="11">
        <v>6.25354871870764</v>
      </c>
      <c r="AF138" s="11">
        <v>8.0002465</v>
      </c>
      <c r="AG138" s="15">
        <v>0.921052631578947</v>
      </c>
      <c r="AH138" s="19">
        <v>12</v>
      </c>
      <c r="AI138" s="19">
        <v>12</v>
      </c>
      <c r="AJ138" s="19">
        <v>0</v>
      </c>
      <c r="AK138" s="15">
        <v>0</v>
      </c>
      <c r="AL138" s="11">
        <v>3.10601150500962</v>
      </c>
      <c r="AM138" s="11">
        <v>4.232925</v>
      </c>
      <c r="AN138" s="15">
        <v>1</v>
      </c>
      <c r="AO138" s="19">
        <v>12</v>
      </c>
      <c r="AP138" s="19">
        <v>12</v>
      </c>
      <c r="AQ138" s="19">
        <v>0</v>
      </c>
      <c r="AR138" s="15">
        <v>0</v>
      </c>
    </row>
    <row r="139" spans="1:44">
      <c r="A139" s="3" t="s">
        <v>44</v>
      </c>
      <c r="B139" s="3" t="s">
        <v>48</v>
      </c>
      <c r="C139" s="4" t="s">
        <v>49</v>
      </c>
      <c r="D139" s="4" t="s">
        <v>64</v>
      </c>
      <c r="E139" s="29">
        <v>3</v>
      </c>
      <c r="F139" s="10">
        <v>215.446</v>
      </c>
      <c r="G139" s="10">
        <v>6.281</v>
      </c>
      <c r="H139" s="10">
        <v>34.3012259194396</v>
      </c>
      <c r="I139" s="10">
        <v>-77.8336408604687</v>
      </c>
      <c r="J139" s="10">
        <v>7.08110813017719</v>
      </c>
      <c r="K139" s="14">
        <v>0.920921075313694</v>
      </c>
      <c r="L139" s="14">
        <v>0.921084386539526</v>
      </c>
      <c r="M139" s="10">
        <v>7.6297523231322</v>
      </c>
      <c r="N139" s="10">
        <v>9.715</v>
      </c>
      <c r="O139" s="14">
        <v>0.963697187461281</v>
      </c>
      <c r="P139" s="18">
        <v>265</v>
      </c>
      <c r="Q139" s="18">
        <v>265</v>
      </c>
      <c r="R139" s="18">
        <v>0</v>
      </c>
      <c r="S139" s="14">
        <v>0</v>
      </c>
      <c r="T139" s="10">
        <v>4.44216854354354</v>
      </c>
      <c r="U139" s="10">
        <v>5.676</v>
      </c>
      <c r="V139" s="14">
        <v>0.973348348348348</v>
      </c>
      <c r="W139" s="18">
        <v>266</v>
      </c>
      <c r="X139" s="18">
        <v>266</v>
      </c>
      <c r="Y139" s="18">
        <v>0</v>
      </c>
      <c r="Z139" s="14">
        <v>0</v>
      </c>
      <c r="AA139" s="10">
        <v>-78.0365041445469</v>
      </c>
      <c r="AB139" s="10">
        <v>6.48341519977647</v>
      </c>
      <c r="AC139" s="14">
        <v>0.922324671696005</v>
      </c>
      <c r="AD139" s="14">
        <v>0.922324671696005</v>
      </c>
      <c r="AE139" s="10">
        <v>7.5106780167264</v>
      </c>
      <c r="AF139" s="10">
        <v>9.585</v>
      </c>
      <c r="AG139" s="14">
        <v>0.968936678614098</v>
      </c>
      <c r="AH139" s="18">
        <v>265</v>
      </c>
      <c r="AI139" s="18">
        <v>265</v>
      </c>
      <c r="AJ139" s="18">
        <v>0</v>
      </c>
      <c r="AK139" s="14">
        <v>0</v>
      </c>
      <c r="AL139" s="10">
        <v>4.45287466823946</v>
      </c>
      <c r="AM139" s="10">
        <v>5.541</v>
      </c>
      <c r="AN139" s="14">
        <v>0.985549985255087</v>
      </c>
      <c r="AO139" s="18">
        <v>266</v>
      </c>
      <c r="AP139" s="18">
        <v>266</v>
      </c>
      <c r="AQ139" s="18">
        <v>0</v>
      </c>
      <c r="AR139" s="14">
        <v>0</v>
      </c>
    </row>
    <row r="140" spans="1:44">
      <c r="A140" s="3" t="s">
        <v>44</v>
      </c>
      <c r="B140" s="3" t="s">
        <v>59</v>
      </c>
      <c r="C140" s="4" t="s">
        <v>49</v>
      </c>
      <c r="D140" s="4" t="s">
        <v>64</v>
      </c>
      <c r="E140" s="30">
        <v>2</v>
      </c>
      <c r="F140" s="10">
        <v>280.433</v>
      </c>
      <c r="G140" s="10">
        <v>5.985</v>
      </c>
      <c r="H140" s="10">
        <v>46.8559732664996</v>
      </c>
      <c r="I140" s="10">
        <v>-77.7482838853911</v>
      </c>
      <c r="J140" s="10">
        <v>5.9004650278497</v>
      </c>
      <c r="K140" s="14">
        <v>0.881407102389437</v>
      </c>
      <c r="L140" s="14">
        <v>0.882142754779352</v>
      </c>
      <c r="M140" s="10">
        <v>6.22635077242633</v>
      </c>
      <c r="N140" s="10">
        <v>9.406</v>
      </c>
      <c r="O140" s="14">
        <v>0.877969622225107</v>
      </c>
      <c r="P140" s="18">
        <v>253</v>
      </c>
      <c r="Q140" s="18">
        <v>253</v>
      </c>
      <c r="R140" s="18">
        <v>0</v>
      </c>
      <c r="S140" s="14">
        <v>0</v>
      </c>
      <c r="T140" s="10">
        <v>4.34745302190552</v>
      </c>
      <c r="U140" s="10">
        <v>5.656</v>
      </c>
      <c r="V140" s="14">
        <v>0.98046978094484</v>
      </c>
      <c r="W140" s="18">
        <v>252</v>
      </c>
      <c r="X140" s="18">
        <v>252</v>
      </c>
      <c r="Y140" s="18">
        <v>0</v>
      </c>
      <c r="Z140" s="14">
        <v>0</v>
      </c>
      <c r="AA140" s="10">
        <v>-78.2758671264041</v>
      </c>
      <c r="AB140" s="10">
        <v>5.92566522110053</v>
      </c>
      <c r="AC140" s="14">
        <v>0.899616095549552</v>
      </c>
      <c r="AD140" s="14">
        <v>0.900327029717048</v>
      </c>
      <c r="AE140" s="10">
        <v>6.41534827669318</v>
      </c>
      <c r="AF140" s="10">
        <v>9.38</v>
      </c>
      <c r="AG140" s="14">
        <v>0.901663051337672</v>
      </c>
      <c r="AH140" s="18">
        <v>253</v>
      </c>
      <c r="AI140" s="18">
        <v>253</v>
      </c>
      <c r="AJ140" s="18">
        <v>0</v>
      </c>
      <c r="AK140" s="14">
        <v>0</v>
      </c>
      <c r="AL140" s="10">
        <v>4.37449296781883</v>
      </c>
      <c r="AM140" s="10">
        <v>5.566</v>
      </c>
      <c r="AN140" s="14">
        <v>0.989034564958284</v>
      </c>
      <c r="AO140" s="18">
        <v>252</v>
      </c>
      <c r="AP140" s="18">
        <v>252</v>
      </c>
      <c r="AQ140" s="18">
        <v>0</v>
      </c>
      <c r="AR140" s="14">
        <v>0</v>
      </c>
    </row>
    <row r="141" spans="1:44">
      <c r="A141" s="3" t="s">
        <v>51</v>
      </c>
      <c r="B141" s="4" t="s">
        <v>62</v>
      </c>
      <c r="C141" s="4" t="s">
        <v>49</v>
      </c>
      <c r="D141" s="4" t="s">
        <v>64</v>
      </c>
      <c r="E141" s="30">
        <v>1</v>
      </c>
      <c r="F141" s="11">
        <v>215.579701658845</v>
      </c>
      <c r="G141" s="11">
        <v>8.31513611111111</v>
      </c>
      <c r="H141" s="11">
        <v>25.9261783304757</v>
      </c>
      <c r="I141" s="11">
        <v>-77.7296431899883</v>
      </c>
      <c r="J141" s="11">
        <v>8.77897712036786</v>
      </c>
      <c r="K141" s="15">
        <v>0.949193493959641</v>
      </c>
      <c r="L141" s="15">
        <v>0.951967334818114</v>
      </c>
      <c r="M141" s="11">
        <v>6.04152673988261</v>
      </c>
      <c r="N141" s="11">
        <v>7.88256</v>
      </c>
      <c r="O141" s="15">
        <v>0.963700957676861</v>
      </c>
      <c r="P141" s="19">
        <v>216</v>
      </c>
      <c r="Q141" s="19">
        <v>216</v>
      </c>
      <c r="R141" s="19">
        <v>0</v>
      </c>
      <c r="S141" s="15">
        <v>0</v>
      </c>
      <c r="T141" s="11">
        <v>2.93764961887198</v>
      </c>
      <c r="U141" s="11">
        <v>5.43457</v>
      </c>
      <c r="V141" s="15">
        <v>0.854464422929153</v>
      </c>
      <c r="W141" s="19">
        <v>217</v>
      </c>
      <c r="X141" s="19">
        <v>217</v>
      </c>
      <c r="Y141" s="19">
        <v>0</v>
      </c>
      <c r="Z141" s="15">
        <v>0</v>
      </c>
      <c r="AA141" s="11">
        <v>-76.4301610427359</v>
      </c>
      <c r="AB141" s="11">
        <v>8.64465461810601</v>
      </c>
      <c r="AC141" s="15">
        <v>0.957232843408111</v>
      </c>
      <c r="AD141" s="15">
        <v>0.959000994585037</v>
      </c>
      <c r="AE141" s="11">
        <v>6.01983361363394</v>
      </c>
      <c r="AF141" s="11">
        <v>7.65679209090909</v>
      </c>
      <c r="AG141" s="15">
        <v>0.96812001875293</v>
      </c>
      <c r="AH141" s="19">
        <v>216</v>
      </c>
      <c r="AI141" s="19">
        <v>216</v>
      </c>
      <c r="AJ141" s="19">
        <v>0</v>
      </c>
      <c r="AK141" s="15">
        <v>0</v>
      </c>
      <c r="AL141" s="11">
        <v>2.99673239591998</v>
      </c>
      <c r="AM141" s="11">
        <v>5.079365</v>
      </c>
      <c r="AN141" s="15">
        <v>0.879963065558633</v>
      </c>
      <c r="AO141" s="19">
        <v>217</v>
      </c>
      <c r="AP141" s="19">
        <v>217</v>
      </c>
      <c r="AQ141" s="19">
        <v>0</v>
      </c>
      <c r="AR141" s="15">
        <v>0</v>
      </c>
    </row>
    <row r="142" spans="1:44">
      <c r="A142" s="3" t="s">
        <v>44</v>
      </c>
      <c r="B142" s="7" t="s">
        <v>60</v>
      </c>
      <c r="C142" s="4" t="s">
        <v>49</v>
      </c>
      <c r="D142" s="5" t="s">
        <v>50</v>
      </c>
      <c r="E142" s="29">
        <v>3</v>
      </c>
      <c r="F142" s="10">
        <v>2.839</v>
      </c>
      <c r="G142" s="10">
        <v>0.593</v>
      </c>
      <c r="H142" s="10">
        <v>4.78752107925801</v>
      </c>
      <c r="I142" s="10">
        <v>-77.5677689516899</v>
      </c>
      <c r="J142" s="10">
        <v>7.42464225701738</v>
      </c>
      <c r="K142" s="14">
        <v>0.946438800840176</v>
      </c>
      <c r="L142" s="14">
        <v>0.946438800840176</v>
      </c>
      <c r="M142" s="10">
        <v>8.55321475625824</v>
      </c>
      <c r="N142" s="10">
        <v>9.77</v>
      </c>
      <c r="O142" s="14">
        <v>0.978919631093544</v>
      </c>
      <c r="P142" s="18">
        <v>25</v>
      </c>
      <c r="Q142" s="18">
        <v>25</v>
      </c>
      <c r="R142" s="18">
        <v>0</v>
      </c>
      <c r="S142" s="14">
        <v>0</v>
      </c>
      <c r="T142" s="10">
        <v>4.86101805555556</v>
      </c>
      <c r="U142" s="10">
        <v>5.84</v>
      </c>
      <c r="V142" s="14">
        <v>0.994444444444444</v>
      </c>
      <c r="W142" s="18">
        <v>24</v>
      </c>
      <c r="X142" s="18">
        <v>24</v>
      </c>
      <c r="Y142" s="18">
        <v>0</v>
      </c>
      <c r="Z142" s="14">
        <v>0</v>
      </c>
      <c r="AA142" s="10">
        <v>-77.5779722222222</v>
      </c>
      <c r="AB142" s="10">
        <v>7.17149444444444</v>
      </c>
      <c r="AC142" s="14">
        <v>0.955555555555556</v>
      </c>
      <c r="AD142" s="14">
        <v>0.955555555555556</v>
      </c>
      <c r="AE142" s="10">
        <v>8.40810144927536</v>
      </c>
      <c r="AF142" s="10">
        <v>9.525</v>
      </c>
      <c r="AG142" s="14">
        <v>0.985507246376812</v>
      </c>
      <c r="AH142" s="18">
        <v>25</v>
      </c>
      <c r="AI142" s="18">
        <v>25</v>
      </c>
      <c r="AJ142" s="18">
        <v>0</v>
      </c>
      <c r="AK142" s="14">
        <v>0</v>
      </c>
      <c r="AL142" s="10">
        <v>4.93491176470588</v>
      </c>
      <c r="AM142" s="10">
        <v>5.476</v>
      </c>
      <c r="AN142" s="14">
        <v>1</v>
      </c>
      <c r="AO142" s="18">
        <v>24</v>
      </c>
      <c r="AP142" s="18">
        <v>24</v>
      </c>
      <c r="AQ142" s="18">
        <v>0</v>
      </c>
      <c r="AR142" s="14">
        <v>0</v>
      </c>
    </row>
    <row r="143" spans="1:44">
      <c r="A143" s="3" t="s">
        <v>44</v>
      </c>
      <c r="B143" s="3" t="s">
        <v>56</v>
      </c>
      <c r="C143" s="4" t="s">
        <v>46</v>
      </c>
      <c r="D143" s="5" t="s">
        <v>53</v>
      </c>
      <c r="E143" s="29">
        <v>3</v>
      </c>
      <c r="F143" s="10"/>
      <c r="G143" s="10">
        <v>0.26</v>
      </c>
      <c r="H143" s="10"/>
      <c r="I143" s="10">
        <v>-77.5498434354251</v>
      </c>
      <c r="J143" s="10">
        <v>18.9001927607625</v>
      </c>
      <c r="K143" s="14">
        <v>1</v>
      </c>
      <c r="L143" s="14">
        <v>1</v>
      </c>
      <c r="M143" s="10">
        <v>9.46630293159609</v>
      </c>
      <c r="N143" s="10">
        <v>9.9</v>
      </c>
      <c r="O143" s="14">
        <v>1</v>
      </c>
      <c r="P143" s="18">
        <v>10</v>
      </c>
      <c r="Q143" s="18">
        <v>10</v>
      </c>
      <c r="R143" s="18">
        <v>0</v>
      </c>
      <c r="S143" s="14">
        <v>0</v>
      </c>
      <c r="T143" s="10">
        <v>4.99149666666667</v>
      </c>
      <c r="U143" s="10">
        <v>5.959</v>
      </c>
      <c r="V143" s="14">
        <v>1</v>
      </c>
      <c r="W143" s="18">
        <v>10</v>
      </c>
      <c r="X143" s="18">
        <v>10</v>
      </c>
      <c r="Y143" s="18">
        <v>0</v>
      </c>
      <c r="Z143" s="14">
        <v>0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</row>
    <row r="144" spans="1:44">
      <c r="A144" s="3" t="s">
        <v>51</v>
      </c>
      <c r="B144" s="4" t="s">
        <v>62</v>
      </c>
      <c r="C144" s="4" t="s">
        <v>49</v>
      </c>
      <c r="D144" s="4" t="s">
        <v>50</v>
      </c>
      <c r="E144" s="30">
        <v>2</v>
      </c>
      <c r="F144" s="11">
        <v>2.2018492013216</v>
      </c>
      <c r="G144" s="11">
        <v>0</v>
      </c>
      <c r="H144" s="11" t="s">
        <v>54</v>
      </c>
      <c r="I144" s="11">
        <v>-77.5246774578744</v>
      </c>
      <c r="J144" s="11">
        <v>6.87703298574104</v>
      </c>
      <c r="K144" s="15">
        <v>0.967733803882027</v>
      </c>
      <c r="L144" s="15">
        <v>0.967733803882027</v>
      </c>
      <c r="M144" s="11">
        <v>8.9972977</v>
      </c>
      <c r="N144" s="11">
        <v>10.4648</v>
      </c>
      <c r="O144" s="15">
        <v>1</v>
      </c>
      <c r="P144" s="19">
        <v>12</v>
      </c>
      <c r="Q144" s="19">
        <v>12</v>
      </c>
      <c r="R144" s="19">
        <v>0</v>
      </c>
      <c r="S144" s="15">
        <v>0</v>
      </c>
      <c r="T144" s="11">
        <v>4.66961013939394</v>
      </c>
      <c r="U144" s="11">
        <v>5.15091</v>
      </c>
      <c r="V144" s="15">
        <v>1</v>
      </c>
      <c r="W144" s="19">
        <v>11</v>
      </c>
      <c r="X144" s="19">
        <v>11</v>
      </c>
      <c r="Y144" s="19">
        <v>0</v>
      </c>
      <c r="Z144" s="15">
        <v>0</v>
      </c>
      <c r="AA144" s="11">
        <v>-77.908785058526</v>
      </c>
      <c r="AB144" s="11">
        <v>6.45313057971145</v>
      </c>
      <c r="AC144" s="15">
        <v>0.981651376146789</v>
      </c>
      <c r="AD144" s="15">
        <v>0.981651376146789</v>
      </c>
      <c r="AE144" s="11">
        <v>9.1368157202177</v>
      </c>
      <c r="AF144" s="11">
        <v>9.9855405</v>
      </c>
      <c r="AG144" s="15">
        <v>1</v>
      </c>
      <c r="AH144" s="19">
        <v>12</v>
      </c>
      <c r="AI144" s="19">
        <v>12</v>
      </c>
      <c r="AJ144" s="19">
        <v>0</v>
      </c>
      <c r="AK144" s="15">
        <v>0</v>
      </c>
      <c r="AL144" s="11">
        <v>4.67009916576073</v>
      </c>
      <c r="AM144" s="11">
        <v>4.85567466666667</v>
      </c>
      <c r="AN144" s="15">
        <v>1</v>
      </c>
      <c r="AO144" s="19">
        <v>11</v>
      </c>
      <c r="AP144" s="19">
        <v>11</v>
      </c>
      <c r="AQ144" s="19">
        <v>0</v>
      </c>
      <c r="AR144" s="15">
        <v>0</v>
      </c>
    </row>
    <row r="145" spans="1:44">
      <c r="A145" s="3" t="s">
        <v>51</v>
      </c>
      <c r="B145" s="4" t="s">
        <v>58</v>
      </c>
      <c r="C145" s="5" t="s">
        <v>46</v>
      </c>
      <c r="D145" s="6" t="s">
        <v>47</v>
      </c>
      <c r="E145" s="30">
        <v>3</v>
      </c>
      <c r="F145" s="11" t="s">
        <v>54</v>
      </c>
      <c r="G145" s="11">
        <v>0.397669444444444</v>
      </c>
      <c r="H145" s="11" t="s">
        <v>54</v>
      </c>
      <c r="I145" s="11">
        <v>-77.3828089706184</v>
      </c>
      <c r="J145" s="11">
        <v>10.7347389842753</v>
      </c>
      <c r="K145" s="15">
        <v>1</v>
      </c>
      <c r="L145" s="15">
        <v>1</v>
      </c>
      <c r="M145" s="11">
        <v>8.32467941</v>
      </c>
      <c r="N145" s="11">
        <v>8.86496</v>
      </c>
      <c r="O145" s="15">
        <v>1</v>
      </c>
      <c r="P145" s="19">
        <v>10</v>
      </c>
      <c r="Q145" s="19">
        <v>10</v>
      </c>
      <c r="R145" s="19">
        <v>0</v>
      </c>
      <c r="S145" s="15">
        <v>0</v>
      </c>
      <c r="T145" s="11">
        <v>4.70383199666667</v>
      </c>
      <c r="U145" s="11">
        <v>6.10442</v>
      </c>
      <c r="V145" s="15">
        <v>1</v>
      </c>
      <c r="W145" s="19">
        <v>10</v>
      </c>
      <c r="X145" s="19">
        <v>10</v>
      </c>
      <c r="Y145" s="19">
        <v>0</v>
      </c>
      <c r="Z145" s="15">
        <v>0</v>
      </c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</row>
    <row r="146" spans="1:44">
      <c r="A146" s="3" t="s">
        <v>44</v>
      </c>
      <c r="B146" s="7" t="s">
        <v>60</v>
      </c>
      <c r="C146" s="4" t="s">
        <v>49</v>
      </c>
      <c r="D146" s="4" t="s">
        <v>64</v>
      </c>
      <c r="E146" s="30">
        <v>3</v>
      </c>
      <c r="F146" s="10">
        <v>220.96</v>
      </c>
      <c r="G146" s="10">
        <v>5.74</v>
      </c>
      <c r="H146" s="10">
        <v>38.4947735191638</v>
      </c>
      <c r="I146" s="10">
        <v>-77.2389549151913</v>
      </c>
      <c r="J146" s="10">
        <v>8.1413967404572</v>
      </c>
      <c r="K146" s="14">
        <v>0.936186002909957</v>
      </c>
      <c r="L146" s="14">
        <v>0.936674250783638</v>
      </c>
      <c r="M146" s="10">
        <v>7.51275131106818</v>
      </c>
      <c r="N146" s="10">
        <v>9.595</v>
      </c>
      <c r="O146" s="14">
        <v>0.948109301683688</v>
      </c>
      <c r="P146" s="18">
        <v>238</v>
      </c>
      <c r="Q146" s="18">
        <v>238</v>
      </c>
      <c r="R146" s="18">
        <v>0</v>
      </c>
      <c r="S146" s="14">
        <v>0</v>
      </c>
      <c r="T146" s="10">
        <v>4.40582951229679</v>
      </c>
      <c r="U146" s="10">
        <v>5.74</v>
      </c>
      <c r="V146" s="14">
        <v>0.96887592052244</v>
      </c>
      <c r="W146" s="18">
        <v>240</v>
      </c>
      <c r="X146" s="18">
        <v>240</v>
      </c>
      <c r="Y146" s="18">
        <v>0</v>
      </c>
      <c r="Z146" s="14">
        <v>0</v>
      </c>
      <c r="AA146" s="10">
        <v>-77.8900761616717</v>
      </c>
      <c r="AB146" s="10">
        <v>7.33666859132985</v>
      </c>
      <c r="AC146" s="14">
        <v>0.924021629548162</v>
      </c>
      <c r="AD146" s="14">
        <v>0.924754834570617</v>
      </c>
      <c r="AE146" s="10">
        <v>7.39660731414868</v>
      </c>
      <c r="AF146" s="10">
        <v>9.552</v>
      </c>
      <c r="AG146" s="14">
        <v>0.939448441247002</v>
      </c>
      <c r="AH146" s="18">
        <v>238</v>
      </c>
      <c r="AI146" s="18">
        <v>238</v>
      </c>
      <c r="AJ146" s="18">
        <v>0</v>
      </c>
      <c r="AK146" s="14">
        <v>0</v>
      </c>
      <c r="AL146" s="10">
        <v>4.41390086852351</v>
      </c>
      <c r="AM146" s="10">
        <v>5.621</v>
      </c>
      <c r="AN146" s="14">
        <v>0.978137166816412</v>
      </c>
      <c r="AO146" s="18">
        <v>240</v>
      </c>
      <c r="AP146" s="18">
        <v>240</v>
      </c>
      <c r="AQ146" s="18">
        <v>0</v>
      </c>
      <c r="AR146" s="14">
        <v>0</v>
      </c>
    </row>
    <row r="147" spans="1:44">
      <c r="A147" s="3" t="s">
        <v>44</v>
      </c>
      <c r="B147" s="7" t="s">
        <v>60</v>
      </c>
      <c r="C147" s="4" t="s">
        <v>49</v>
      </c>
      <c r="D147" s="4" t="s">
        <v>64</v>
      </c>
      <c r="E147" s="30">
        <v>2</v>
      </c>
      <c r="F147" s="10">
        <v>220.96</v>
      </c>
      <c r="G147" s="10">
        <v>5.741</v>
      </c>
      <c r="H147" s="10">
        <v>38.4880682807873</v>
      </c>
      <c r="I147" s="10">
        <v>-77.1607616862212</v>
      </c>
      <c r="J147" s="10">
        <v>9.36468667129843</v>
      </c>
      <c r="K147" s="14">
        <v>0.948900609630797</v>
      </c>
      <c r="L147" s="14">
        <v>0.949879150235339</v>
      </c>
      <c r="M147" s="10">
        <v>7.12609297860669</v>
      </c>
      <c r="N147" s="10">
        <v>9.681</v>
      </c>
      <c r="O147" s="14">
        <v>0.948710916072408</v>
      </c>
      <c r="P147" s="18">
        <v>240</v>
      </c>
      <c r="Q147" s="18">
        <v>240</v>
      </c>
      <c r="R147" s="18">
        <v>0</v>
      </c>
      <c r="S147" s="14">
        <v>0</v>
      </c>
      <c r="T147" s="10">
        <v>4.17789036638846</v>
      </c>
      <c r="U147" s="10">
        <v>5.746</v>
      </c>
      <c r="V147" s="14">
        <v>0.949497807327769</v>
      </c>
      <c r="W147" s="18">
        <v>235</v>
      </c>
      <c r="X147" s="18">
        <v>235</v>
      </c>
      <c r="Y147" s="18">
        <v>0</v>
      </c>
      <c r="Z147" s="14">
        <v>0</v>
      </c>
      <c r="AA147" s="10">
        <v>-77.4599093416697</v>
      </c>
      <c r="AB147" s="10">
        <v>8.32085684075028</v>
      </c>
      <c r="AC147" s="14">
        <v>0.947499080544318</v>
      </c>
      <c r="AD147" s="14">
        <v>0.948234645090107</v>
      </c>
      <c r="AE147" s="10">
        <v>6.85388807785888</v>
      </c>
      <c r="AF147" s="10">
        <v>9.468</v>
      </c>
      <c r="AG147" s="14">
        <v>0.936739659367397</v>
      </c>
      <c r="AH147" s="18">
        <v>240</v>
      </c>
      <c r="AI147" s="18">
        <v>240</v>
      </c>
      <c r="AJ147" s="18">
        <v>0</v>
      </c>
      <c r="AK147" s="14">
        <v>0</v>
      </c>
      <c r="AL147" s="10">
        <v>4.1453466945857</v>
      </c>
      <c r="AM147" s="10">
        <v>5.63</v>
      </c>
      <c r="AN147" s="14">
        <v>0.960813640442716</v>
      </c>
      <c r="AO147" s="18">
        <v>235</v>
      </c>
      <c r="AP147" s="18">
        <v>235</v>
      </c>
      <c r="AQ147" s="18">
        <v>0</v>
      </c>
      <c r="AR147" s="14">
        <v>0</v>
      </c>
    </row>
    <row r="148" spans="1:44">
      <c r="A148" s="3" t="s">
        <v>51</v>
      </c>
      <c r="B148" s="5" t="s">
        <v>63</v>
      </c>
      <c r="C148" s="6" t="s">
        <v>49</v>
      </c>
      <c r="D148" s="6" t="s">
        <v>61</v>
      </c>
      <c r="E148" s="31">
        <v>2</v>
      </c>
      <c r="F148" s="11">
        <v>2.03014532768726</v>
      </c>
      <c r="G148" s="11">
        <v>0.497672222222222</v>
      </c>
      <c r="H148" s="11">
        <v>4.07928197925573</v>
      </c>
      <c r="I148" s="11">
        <v>-77.1232545413064</v>
      </c>
      <c r="J148" s="11">
        <v>13.779208179145</v>
      </c>
      <c r="K148" s="15">
        <v>0.985391617035622</v>
      </c>
      <c r="L148" s="15">
        <v>0.985391617035622</v>
      </c>
      <c r="M148" s="11">
        <v>8.53067546410256</v>
      </c>
      <c r="N148" s="11">
        <v>10.0177</v>
      </c>
      <c r="O148" s="15">
        <v>1</v>
      </c>
      <c r="P148" s="19">
        <v>13</v>
      </c>
      <c r="Q148" s="19">
        <v>13</v>
      </c>
      <c r="R148" s="19">
        <v>0</v>
      </c>
      <c r="S148" s="15">
        <v>0</v>
      </c>
      <c r="T148" s="11">
        <v>4.44722332994924</v>
      </c>
      <c r="U148" s="11">
        <v>5.78894</v>
      </c>
      <c r="V148" s="15">
        <v>0.99746192893401</v>
      </c>
      <c r="W148" s="19">
        <v>14</v>
      </c>
      <c r="X148" s="19">
        <v>14</v>
      </c>
      <c r="Y148" s="19">
        <v>0</v>
      </c>
      <c r="Z148" s="15">
        <v>0</v>
      </c>
      <c r="AA148" s="11">
        <v>-77.6364081495602</v>
      </c>
      <c r="AB148" s="11">
        <v>13.2108512732107</v>
      </c>
      <c r="AC148" s="15">
        <v>1</v>
      </c>
      <c r="AD148" s="15">
        <v>1</v>
      </c>
      <c r="AE148" s="11">
        <v>8.52241609349624</v>
      </c>
      <c r="AF148" s="11">
        <v>9.74595575</v>
      </c>
      <c r="AG148" s="15">
        <v>1</v>
      </c>
      <c r="AH148" s="19">
        <v>13</v>
      </c>
      <c r="AI148" s="19">
        <v>13</v>
      </c>
      <c r="AJ148" s="19">
        <v>0</v>
      </c>
      <c r="AK148" s="15">
        <v>0</v>
      </c>
      <c r="AL148" s="11">
        <v>4.49133923532954</v>
      </c>
      <c r="AM148" s="11">
        <v>4.84362542857143</v>
      </c>
      <c r="AN148" s="15">
        <v>1</v>
      </c>
      <c r="AO148" s="19">
        <v>14</v>
      </c>
      <c r="AP148" s="19">
        <v>14</v>
      </c>
      <c r="AQ148" s="19">
        <v>0</v>
      </c>
      <c r="AR148" s="15">
        <v>0</v>
      </c>
    </row>
    <row r="149" spans="1:44">
      <c r="A149" s="3" t="s">
        <v>51</v>
      </c>
      <c r="B149" s="6" t="s">
        <v>52</v>
      </c>
      <c r="C149" s="6" t="s">
        <v>49</v>
      </c>
      <c r="D149" s="6" t="s">
        <v>50</v>
      </c>
      <c r="E149" s="30">
        <v>1</v>
      </c>
      <c r="F149" s="11">
        <v>5.61482901751995</v>
      </c>
      <c r="G149" s="11">
        <v>0.419169444444444</v>
      </c>
      <c r="H149" s="11">
        <v>13.3951295638013</v>
      </c>
      <c r="I149" s="11">
        <v>-77.1041943511071</v>
      </c>
      <c r="J149" s="11">
        <v>11.846042925907</v>
      </c>
      <c r="K149" s="15">
        <v>0.951355661881978</v>
      </c>
      <c r="L149" s="15">
        <v>0.951355661881978</v>
      </c>
      <c r="M149" s="11">
        <v>7.60508635494881</v>
      </c>
      <c r="N149" s="11">
        <v>9.03072</v>
      </c>
      <c r="O149" s="15">
        <v>0.989761092150171</v>
      </c>
      <c r="P149" s="19">
        <v>10</v>
      </c>
      <c r="Q149" s="19">
        <v>10</v>
      </c>
      <c r="R149" s="19">
        <v>0</v>
      </c>
      <c r="S149" s="15">
        <v>0</v>
      </c>
      <c r="T149" s="11">
        <v>4.01401622333333</v>
      </c>
      <c r="U149" s="11">
        <v>5.44545</v>
      </c>
      <c r="V149" s="15">
        <v>0.983333333333333</v>
      </c>
      <c r="W149" s="19">
        <v>10</v>
      </c>
      <c r="X149" s="19">
        <v>10</v>
      </c>
      <c r="Y149" s="19">
        <v>0</v>
      </c>
      <c r="Z149" s="15">
        <v>0</v>
      </c>
      <c r="AA149" s="11">
        <v>-78.3517330283307</v>
      </c>
      <c r="AB149" s="11">
        <v>10.8795868613527</v>
      </c>
      <c r="AC149" s="15">
        <v>0.932584269662921</v>
      </c>
      <c r="AD149" s="15">
        <v>0.932584269662921</v>
      </c>
      <c r="AE149" s="11">
        <v>7.46914909715712</v>
      </c>
      <c r="AF149" s="11">
        <v>8.8809685</v>
      </c>
      <c r="AG149" s="15">
        <v>0.984126984126984</v>
      </c>
      <c r="AH149" s="19">
        <v>10</v>
      </c>
      <c r="AI149" s="19">
        <v>10</v>
      </c>
      <c r="AJ149" s="19">
        <v>0</v>
      </c>
      <c r="AK149" s="15">
        <v>0</v>
      </c>
      <c r="AL149" s="11">
        <v>4.02025806178571</v>
      </c>
      <c r="AM149" s="11">
        <v>4.74477416666667</v>
      </c>
      <c r="AN149" s="15">
        <v>1</v>
      </c>
      <c r="AO149" s="19">
        <v>10</v>
      </c>
      <c r="AP149" s="19">
        <v>10</v>
      </c>
      <c r="AQ149" s="19">
        <v>0</v>
      </c>
      <c r="AR149" s="15">
        <v>0</v>
      </c>
    </row>
    <row r="150" spans="1:44">
      <c r="A150" s="3" t="s">
        <v>44</v>
      </c>
      <c r="B150" s="3" t="s">
        <v>45</v>
      </c>
      <c r="C150" s="4" t="s">
        <v>49</v>
      </c>
      <c r="D150" s="5" t="s">
        <v>50</v>
      </c>
      <c r="E150" s="29">
        <v>2</v>
      </c>
      <c r="F150" s="10">
        <v>0.935</v>
      </c>
      <c r="G150" s="10">
        <v>0.21</v>
      </c>
      <c r="H150" s="10">
        <v>4.45238095238095</v>
      </c>
      <c r="I150" s="10">
        <v>-77.0224875594073</v>
      </c>
      <c r="J150" s="10">
        <v>7.4488677662846</v>
      </c>
      <c r="K150" s="14">
        <v>0.925076880067095</v>
      </c>
      <c r="L150" s="14">
        <v>0.925076880067095</v>
      </c>
      <c r="M150" s="10">
        <v>6.01537295081967</v>
      </c>
      <c r="N150" s="10">
        <v>9.625</v>
      </c>
      <c r="O150" s="14">
        <v>0.860655737704918</v>
      </c>
      <c r="P150" s="18">
        <v>8</v>
      </c>
      <c r="Q150" s="18">
        <v>8</v>
      </c>
      <c r="R150" s="18">
        <v>0</v>
      </c>
      <c r="S150" s="14">
        <v>0</v>
      </c>
      <c r="T150" s="10">
        <v>4.7203037037037</v>
      </c>
      <c r="U150" s="10">
        <v>5.739</v>
      </c>
      <c r="V150" s="14">
        <v>1</v>
      </c>
      <c r="W150" s="18">
        <v>9</v>
      </c>
      <c r="X150" s="18">
        <v>9</v>
      </c>
      <c r="Y150" s="18">
        <v>0</v>
      </c>
      <c r="Z150" s="14">
        <v>0</v>
      </c>
      <c r="AA150" s="10">
        <v>-77.074109375</v>
      </c>
      <c r="AB150" s="10">
        <v>7.510765625</v>
      </c>
      <c r="AC150" s="14">
        <v>1</v>
      </c>
      <c r="AD150" s="14">
        <v>1</v>
      </c>
      <c r="AE150" s="10">
        <v>5.82680769230769</v>
      </c>
      <c r="AF150" s="10">
        <v>9.23</v>
      </c>
      <c r="AG150" s="14">
        <v>0.846153846153846</v>
      </c>
      <c r="AH150" s="18">
        <v>8</v>
      </c>
      <c r="AI150" s="18">
        <v>8</v>
      </c>
      <c r="AJ150" s="18">
        <v>0</v>
      </c>
      <c r="AK150" s="14">
        <v>0</v>
      </c>
      <c r="AL150" s="10">
        <v>4.68666666666667</v>
      </c>
      <c r="AM150" s="10">
        <v>5.287</v>
      </c>
      <c r="AN150" s="14">
        <v>1</v>
      </c>
      <c r="AO150" s="18">
        <v>9</v>
      </c>
      <c r="AP150" s="18">
        <v>9</v>
      </c>
      <c r="AQ150" s="18">
        <v>0</v>
      </c>
      <c r="AR150" s="14">
        <v>0</v>
      </c>
    </row>
    <row r="151" spans="1:44">
      <c r="A151" s="3" t="s">
        <v>44</v>
      </c>
      <c r="B151" s="3" t="s">
        <v>56</v>
      </c>
      <c r="C151" s="4" t="s">
        <v>49</v>
      </c>
      <c r="D151" s="4" t="s">
        <v>64</v>
      </c>
      <c r="E151" s="30">
        <v>3</v>
      </c>
      <c r="F151" s="10">
        <v>260.206</v>
      </c>
      <c r="G151" s="10">
        <v>5.47</v>
      </c>
      <c r="H151" s="10">
        <v>47.5696526508227</v>
      </c>
      <c r="I151" s="10">
        <v>-76.8630527354707</v>
      </c>
      <c r="J151" s="10">
        <v>7.79522238036861</v>
      </c>
      <c r="K151" s="14">
        <v>0.92809649469113</v>
      </c>
      <c r="L151" s="14">
        <v>0.928802958838074</v>
      </c>
      <c r="M151" s="10">
        <v>7.8222974841842</v>
      </c>
      <c r="N151" s="10">
        <v>9.794</v>
      </c>
      <c r="O151" s="14">
        <v>0.961012211269678</v>
      </c>
      <c r="P151" s="18">
        <v>223</v>
      </c>
      <c r="Q151" s="18">
        <v>223</v>
      </c>
      <c r="R151" s="18">
        <v>0</v>
      </c>
      <c r="S151" s="14">
        <v>0</v>
      </c>
      <c r="T151" s="10">
        <v>4.59443770346256</v>
      </c>
      <c r="U151" s="10">
        <v>5.6809998</v>
      </c>
      <c r="V151" s="14">
        <v>0.987866232613199</v>
      </c>
      <c r="W151" s="18">
        <v>225</v>
      </c>
      <c r="X151" s="18">
        <v>225</v>
      </c>
      <c r="Y151" s="18">
        <v>0</v>
      </c>
      <c r="Z151" s="14">
        <v>0</v>
      </c>
      <c r="AA151" s="10">
        <v>-77.6451628761774</v>
      </c>
      <c r="AB151" s="10">
        <v>7.66984815070067</v>
      </c>
      <c r="AC151" s="14">
        <v>0.940653955126733</v>
      </c>
      <c r="AD151" s="14">
        <v>0.941572861627996</v>
      </c>
      <c r="AE151" s="10">
        <v>7.80943385416667</v>
      </c>
      <c r="AF151" s="10">
        <v>9.761</v>
      </c>
      <c r="AG151" s="14">
        <v>0.967447916666667</v>
      </c>
      <c r="AH151" s="18">
        <v>223</v>
      </c>
      <c r="AI151" s="18">
        <v>223</v>
      </c>
      <c r="AJ151" s="18">
        <v>0</v>
      </c>
      <c r="AK151" s="14">
        <v>0</v>
      </c>
      <c r="AL151" s="10">
        <v>4.60740877949759</v>
      </c>
      <c r="AM151" s="10">
        <v>5.605</v>
      </c>
      <c r="AN151" s="14">
        <v>0.9908652626237</v>
      </c>
      <c r="AO151" s="18">
        <v>225</v>
      </c>
      <c r="AP151" s="18">
        <v>225</v>
      </c>
      <c r="AQ151" s="18">
        <v>0</v>
      </c>
      <c r="AR151" s="14">
        <v>0</v>
      </c>
    </row>
    <row r="152" spans="1:44">
      <c r="A152" s="3" t="s">
        <v>44</v>
      </c>
      <c r="B152" s="7" t="s">
        <v>60</v>
      </c>
      <c r="C152" s="4" t="s">
        <v>49</v>
      </c>
      <c r="D152" s="5" t="s">
        <v>50</v>
      </c>
      <c r="E152" s="29">
        <v>2</v>
      </c>
      <c r="F152" s="10">
        <v>2.839</v>
      </c>
      <c r="G152" s="10">
        <v>0.593</v>
      </c>
      <c r="H152" s="10">
        <v>4.78752107925801</v>
      </c>
      <c r="I152" s="10">
        <v>-76.7456947935368</v>
      </c>
      <c r="J152" s="10">
        <v>6.18566521780214</v>
      </c>
      <c r="K152" s="14">
        <v>0.930643484834168</v>
      </c>
      <c r="L152" s="14">
        <v>0.931399414154777</v>
      </c>
      <c r="M152" s="10">
        <v>8.20955526315789</v>
      </c>
      <c r="N152" s="10">
        <v>9.851</v>
      </c>
      <c r="O152" s="14">
        <v>0.973684210526316</v>
      </c>
      <c r="P152" s="18">
        <v>25</v>
      </c>
      <c r="Q152" s="18">
        <v>25</v>
      </c>
      <c r="R152" s="18">
        <v>0</v>
      </c>
      <c r="S152" s="14">
        <v>0</v>
      </c>
      <c r="T152" s="10">
        <v>4.73329906542056</v>
      </c>
      <c r="U152" s="10">
        <v>5.874</v>
      </c>
      <c r="V152" s="14">
        <v>0.991989319092123</v>
      </c>
      <c r="W152" s="18">
        <v>25</v>
      </c>
      <c r="X152" s="18">
        <v>25</v>
      </c>
      <c r="Y152" s="18">
        <v>0</v>
      </c>
      <c r="Z152" s="14">
        <v>0</v>
      </c>
      <c r="AA152" s="10">
        <v>-76.5075519125683</v>
      </c>
      <c r="AB152" s="10">
        <v>6.09877595628415</v>
      </c>
      <c r="AC152" s="14">
        <v>0.956284153005464</v>
      </c>
      <c r="AD152" s="14">
        <v>0.956284153005464</v>
      </c>
      <c r="AE152" s="10">
        <v>8.11682191780822</v>
      </c>
      <c r="AF152" s="10">
        <v>9.539</v>
      </c>
      <c r="AG152" s="14">
        <v>1</v>
      </c>
      <c r="AH152" s="18">
        <v>25</v>
      </c>
      <c r="AI152" s="18">
        <v>25</v>
      </c>
      <c r="AJ152" s="18">
        <v>0</v>
      </c>
      <c r="AK152" s="14">
        <v>0</v>
      </c>
      <c r="AL152" s="10">
        <v>4.8711884057971</v>
      </c>
      <c r="AM152" s="10">
        <v>5.352</v>
      </c>
      <c r="AN152" s="14">
        <v>1</v>
      </c>
      <c r="AO152" s="18">
        <v>25</v>
      </c>
      <c r="AP152" s="18">
        <v>25</v>
      </c>
      <c r="AQ152" s="18">
        <v>0</v>
      </c>
      <c r="AR152" s="14">
        <v>0</v>
      </c>
    </row>
    <row r="153" spans="1:44">
      <c r="A153" s="3" t="s">
        <v>44</v>
      </c>
      <c r="B153" s="3" t="s">
        <v>59</v>
      </c>
      <c r="C153" s="4" t="s">
        <v>49</v>
      </c>
      <c r="D153" s="5" t="s">
        <v>50</v>
      </c>
      <c r="E153" s="29">
        <v>3</v>
      </c>
      <c r="F153" s="10">
        <v>2.422</v>
      </c>
      <c r="G153" s="10">
        <v>0.63</v>
      </c>
      <c r="H153" s="10">
        <v>3.84444444444444</v>
      </c>
      <c r="I153" s="10">
        <v>-76.6457587287377</v>
      </c>
      <c r="J153" s="10">
        <v>5.3921085049239</v>
      </c>
      <c r="K153" s="14">
        <v>0.930796777081468</v>
      </c>
      <c r="L153" s="14">
        <v>0.930796777081468</v>
      </c>
      <c r="M153" s="10">
        <v>5.78215768725361</v>
      </c>
      <c r="N153" s="10">
        <v>8.967</v>
      </c>
      <c r="O153" s="14">
        <v>0.846254927726675</v>
      </c>
      <c r="P153" s="18">
        <v>25</v>
      </c>
      <c r="Q153" s="18">
        <v>25</v>
      </c>
      <c r="R153" s="18">
        <v>0</v>
      </c>
      <c r="S153" s="14">
        <v>0</v>
      </c>
      <c r="T153" s="10">
        <v>4.45098522167488</v>
      </c>
      <c r="U153" s="10">
        <v>5.877</v>
      </c>
      <c r="V153" s="14">
        <v>0.954433497536946</v>
      </c>
      <c r="W153" s="18">
        <v>27</v>
      </c>
      <c r="X153" s="18">
        <v>27</v>
      </c>
      <c r="Y153" s="18">
        <v>0</v>
      </c>
      <c r="Z153" s="14">
        <v>0</v>
      </c>
      <c r="AA153" s="10">
        <v>-76.4377151162791</v>
      </c>
      <c r="AB153" s="10">
        <v>5.48004651162791</v>
      </c>
      <c r="AC153" s="14">
        <v>0.970930232558139</v>
      </c>
      <c r="AD153" s="14">
        <v>0.970930232558139</v>
      </c>
      <c r="AE153" s="10">
        <v>5.3471746031746</v>
      </c>
      <c r="AF153" s="10">
        <v>8.3</v>
      </c>
      <c r="AG153" s="14">
        <v>0.873015873015873</v>
      </c>
      <c r="AH153" s="18">
        <v>25</v>
      </c>
      <c r="AI153" s="18">
        <v>25</v>
      </c>
      <c r="AJ153" s="18">
        <v>0</v>
      </c>
      <c r="AK153" s="14">
        <v>0</v>
      </c>
      <c r="AL153" s="10">
        <v>4.46857142857143</v>
      </c>
      <c r="AM153" s="10">
        <v>5.311</v>
      </c>
      <c r="AN153" s="14">
        <v>0.971428571428571</v>
      </c>
      <c r="AO153" s="18">
        <v>27</v>
      </c>
      <c r="AP153" s="18">
        <v>27</v>
      </c>
      <c r="AQ153" s="18">
        <v>0</v>
      </c>
      <c r="AR153" s="14">
        <v>0</v>
      </c>
    </row>
    <row r="154" spans="1:44">
      <c r="A154" s="3" t="s">
        <v>51</v>
      </c>
      <c r="B154" s="5" t="s">
        <v>63</v>
      </c>
      <c r="C154" s="5" t="s">
        <v>49</v>
      </c>
      <c r="D154" s="5" t="s">
        <v>64</v>
      </c>
      <c r="E154" s="31">
        <v>1</v>
      </c>
      <c r="F154" s="11">
        <v>211.035088272512</v>
      </c>
      <c r="G154" s="11">
        <v>4.96133833333333</v>
      </c>
      <c r="H154" s="11">
        <v>42.5359195632049</v>
      </c>
      <c r="I154" s="11">
        <v>-76.6299314676979</v>
      </c>
      <c r="J154" s="11">
        <v>10.1491222510857</v>
      </c>
      <c r="K154" s="15">
        <v>0.948867952337222</v>
      </c>
      <c r="L154" s="15">
        <v>0.95353899527227</v>
      </c>
      <c r="M154" s="11">
        <v>6.40013894126431</v>
      </c>
      <c r="N154" s="11">
        <v>9.59807</v>
      </c>
      <c r="O154" s="15">
        <v>0.951468392234943</v>
      </c>
      <c r="P154" s="19">
        <v>134</v>
      </c>
      <c r="Q154" s="19">
        <v>134</v>
      </c>
      <c r="R154" s="19">
        <v>0</v>
      </c>
      <c r="S154" s="15">
        <v>0</v>
      </c>
      <c r="T154" s="11">
        <v>2.9086364582495</v>
      </c>
      <c r="U154" s="11">
        <v>4.75871</v>
      </c>
      <c r="V154" s="15">
        <v>0.956740442655936</v>
      </c>
      <c r="W154" s="19">
        <v>134</v>
      </c>
      <c r="X154" s="19">
        <v>133</v>
      </c>
      <c r="Y154" s="19">
        <v>1</v>
      </c>
      <c r="Z154" s="15">
        <v>0.0075187969924812</v>
      </c>
      <c r="AA154" s="11">
        <v>-76.7059591365298</v>
      </c>
      <c r="AB154" s="11">
        <v>10.2469756838744</v>
      </c>
      <c r="AC154" s="15">
        <v>0.965528894896925</v>
      </c>
      <c r="AD154" s="15">
        <v>0.970034921707784</v>
      </c>
      <c r="AE154" s="11">
        <v>6.52159443776627</v>
      </c>
      <c r="AF154" s="11">
        <v>9.615073</v>
      </c>
      <c r="AG154" s="15">
        <v>0.95676219205631</v>
      </c>
      <c r="AH154" s="19">
        <v>134</v>
      </c>
      <c r="AI154" s="19">
        <v>134</v>
      </c>
      <c r="AJ154" s="19">
        <v>0</v>
      </c>
      <c r="AK154" s="15">
        <v>0</v>
      </c>
      <c r="AL154" s="11">
        <v>3.08282514424627</v>
      </c>
      <c r="AM154" s="11">
        <v>4.755386</v>
      </c>
      <c r="AN154" s="15">
        <v>0.958579881656805</v>
      </c>
      <c r="AO154" s="19">
        <v>134</v>
      </c>
      <c r="AP154" s="19">
        <v>133</v>
      </c>
      <c r="AQ154" s="19">
        <v>1</v>
      </c>
      <c r="AR154" s="15">
        <v>0.0075187969924812</v>
      </c>
    </row>
    <row r="155" spans="1:44">
      <c r="A155" s="3" t="s">
        <v>51</v>
      </c>
      <c r="B155" s="5" t="s">
        <v>63</v>
      </c>
      <c r="C155" s="6" t="s">
        <v>49</v>
      </c>
      <c r="D155" s="6" t="s">
        <v>50</v>
      </c>
      <c r="E155" s="31">
        <v>1</v>
      </c>
      <c r="F155" s="11">
        <v>2.02233774805069</v>
      </c>
      <c r="G155" s="11">
        <v>0.477077777777778</v>
      </c>
      <c r="H155" s="11">
        <v>4.23901058119016</v>
      </c>
      <c r="I155" s="11">
        <v>-76.6184733067248</v>
      </c>
      <c r="J155" s="11">
        <v>8.73468937861501</v>
      </c>
      <c r="K155" s="15">
        <v>0.956358517128109</v>
      </c>
      <c r="L155" s="15">
        <v>0.956358517128109</v>
      </c>
      <c r="M155" s="11">
        <v>5.82776990745501</v>
      </c>
      <c r="N155" s="11">
        <v>7.42016</v>
      </c>
      <c r="O155" s="15">
        <v>0.933161953727506</v>
      </c>
      <c r="P155" s="19">
        <v>13</v>
      </c>
      <c r="Q155" s="19">
        <v>13</v>
      </c>
      <c r="R155" s="19">
        <v>0</v>
      </c>
      <c r="S155" s="15">
        <v>0</v>
      </c>
      <c r="T155" s="11">
        <v>1.41814031025641</v>
      </c>
      <c r="U155" s="11">
        <v>4.35788</v>
      </c>
      <c r="V155" s="15">
        <v>0.98974358974359</v>
      </c>
      <c r="W155" s="19">
        <v>13</v>
      </c>
      <c r="X155" s="19">
        <v>13</v>
      </c>
      <c r="Y155" s="19">
        <v>0</v>
      </c>
      <c r="Z155" s="15">
        <v>0</v>
      </c>
      <c r="AA155" s="11">
        <v>-75.1848752561611</v>
      </c>
      <c r="AB155" s="11">
        <v>9.88134509133212</v>
      </c>
      <c r="AC155" s="15">
        <v>0.98936170212766</v>
      </c>
      <c r="AD155" s="15">
        <v>0.98936170212766</v>
      </c>
      <c r="AE155" s="11">
        <v>5.82336407929435</v>
      </c>
      <c r="AF155" s="11">
        <v>6.85849466666667</v>
      </c>
      <c r="AG155" s="15">
        <v>1</v>
      </c>
      <c r="AH155" s="19">
        <v>13</v>
      </c>
      <c r="AI155" s="19">
        <v>13</v>
      </c>
      <c r="AJ155" s="19">
        <v>0</v>
      </c>
      <c r="AK155" s="15">
        <v>0</v>
      </c>
      <c r="AL155" s="11">
        <v>1.42596437984234</v>
      </c>
      <c r="AM155" s="11">
        <v>4.19023578947368</v>
      </c>
      <c r="AN155" s="15">
        <v>1</v>
      </c>
      <c r="AO155" s="19">
        <v>13</v>
      </c>
      <c r="AP155" s="19">
        <v>13</v>
      </c>
      <c r="AQ155" s="19">
        <v>0</v>
      </c>
      <c r="AR155" s="15">
        <v>0</v>
      </c>
    </row>
    <row r="156" spans="1:44">
      <c r="A156" s="3" t="s">
        <v>44</v>
      </c>
      <c r="B156" s="3" t="s">
        <v>45</v>
      </c>
      <c r="C156" s="4" t="s">
        <v>49</v>
      </c>
      <c r="D156" s="4" t="s">
        <v>64</v>
      </c>
      <c r="E156" s="30">
        <v>3</v>
      </c>
      <c r="F156" s="10">
        <v>377.513</v>
      </c>
      <c r="G156" s="10">
        <v>7.397</v>
      </c>
      <c r="H156" s="10">
        <v>51.035960524537</v>
      </c>
      <c r="I156" s="10">
        <v>-76.5372066276654</v>
      </c>
      <c r="J156" s="10">
        <v>8.6258548985764</v>
      </c>
      <c r="K156" s="14">
        <v>0.945675749984725</v>
      </c>
      <c r="L156" s="14">
        <v>0.946386020651311</v>
      </c>
      <c r="M156" s="10">
        <v>7.32765560033941</v>
      </c>
      <c r="N156" s="10">
        <v>9.686</v>
      </c>
      <c r="O156" s="14">
        <v>0.960649130250318</v>
      </c>
      <c r="P156" s="18">
        <v>309</v>
      </c>
      <c r="Q156" s="18">
        <v>309</v>
      </c>
      <c r="R156" s="18">
        <v>0</v>
      </c>
      <c r="S156" s="14">
        <v>0</v>
      </c>
      <c r="T156" s="10">
        <v>4.64372745748208</v>
      </c>
      <c r="U156" s="10">
        <v>5.712</v>
      </c>
      <c r="V156" s="14">
        <v>0.990908118515349</v>
      </c>
      <c r="W156" s="18">
        <v>311</v>
      </c>
      <c r="X156" s="18">
        <v>311</v>
      </c>
      <c r="Y156" s="18">
        <v>0</v>
      </c>
      <c r="Z156" s="14">
        <v>0</v>
      </c>
      <c r="AA156" s="10">
        <v>-77.0015425200125</v>
      </c>
      <c r="AB156" s="10">
        <v>8.33828771182035</v>
      </c>
      <c r="AC156" s="14">
        <v>0.948123505561909</v>
      </c>
      <c r="AD156" s="14">
        <v>0.948643310115397</v>
      </c>
      <c r="AE156" s="10">
        <v>7.3929829833454</v>
      </c>
      <c r="AF156" s="10">
        <v>9.673</v>
      </c>
      <c r="AG156" s="14">
        <v>0.959811730629978</v>
      </c>
      <c r="AH156" s="18">
        <v>309</v>
      </c>
      <c r="AI156" s="18">
        <v>309</v>
      </c>
      <c r="AJ156" s="18">
        <v>0</v>
      </c>
      <c r="AK156" s="14">
        <v>0</v>
      </c>
      <c r="AL156" s="10">
        <v>4.65304378252288</v>
      </c>
      <c r="AM156" s="10">
        <v>5.635</v>
      </c>
      <c r="AN156" s="14">
        <v>0.992463664094743</v>
      </c>
      <c r="AO156" s="18">
        <v>311</v>
      </c>
      <c r="AP156" s="18">
        <v>311</v>
      </c>
      <c r="AQ156" s="18">
        <v>0</v>
      </c>
      <c r="AR156" s="14">
        <v>0</v>
      </c>
    </row>
    <row r="157" spans="1:44">
      <c r="A157" s="3" t="s">
        <v>51</v>
      </c>
      <c r="B157" s="4" t="s">
        <v>62</v>
      </c>
      <c r="C157" s="4" t="s">
        <v>49</v>
      </c>
      <c r="D157" s="4" t="s">
        <v>50</v>
      </c>
      <c r="E157" s="30">
        <v>1</v>
      </c>
      <c r="F157" s="11">
        <v>2.2018492013216</v>
      </c>
      <c r="G157" s="11">
        <v>0</v>
      </c>
      <c r="H157" s="11" t="s">
        <v>54</v>
      </c>
      <c r="I157" s="11">
        <v>-76.4853023928237</v>
      </c>
      <c r="J157" s="11">
        <v>11.0847188215771</v>
      </c>
      <c r="K157" s="15">
        <v>0.990509932936859</v>
      </c>
      <c r="L157" s="15">
        <v>0.990509932936859</v>
      </c>
      <c r="M157" s="11">
        <v>5.99565196696697</v>
      </c>
      <c r="N157" s="11">
        <v>8.02261</v>
      </c>
      <c r="O157" s="15">
        <v>0.984984984984985</v>
      </c>
      <c r="P157" s="19">
        <v>12</v>
      </c>
      <c r="Q157" s="19">
        <v>12</v>
      </c>
      <c r="R157" s="19">
        <v>0</v>
      </c>
      <c r="S157" s="15">
        <v>0</v>
      </c>
      <c r="T157" s="11">
        <v>3.66094265277778</v>
      </c>
      <c r="U157" s="11">
        <v>5.78313</v>
      </c>
      <c r="V157" s="15">
        <v>0.897222222222222</v>
      </c>
      <c r="W157" s="19">
        <v>12</v>
      </c>
      <c r="X157" s="19">
        <v>12</v>
      </c>
      <c r="Y157" s="19">
        <v>0</v>
      </c>
      <c r="Z157" s="15">
        <v>0</v>
      </c>
      <c r="AA157" s="11">
        <v>-76.3667342775421</v>
      </c>
      <c r="AB157" s="11">
        <v>11.200296720269</v>
      </c>
      <c r="AC157" s="15">
        <v>1</v>
      </c>
      <c r="AD157" s="15">
        <v>1</v>
      </c>
      <c r="AE157" s="11">
        <v>6.10773746094725</v>
      </c>
      <c r="AF157" s="11">
        <v>7.893207</v>
      </c>
      <c r="AG157" s="15">
        <v>1</v>
      </c>
      <c r="AH157" s="19">
        <v>12</v>
      </c>
      <c r="AI157" s="19">
        <v>12</v>
      </c>
      <c r="AJ157" s="19">
        <v>0</v>
      </c>
      <c r="AK157" s="15">
        <v>0</v>
      </c>
      <c r="AL157" s="11">
        <v>3.64962370328708</v>
      </c>
      <c r="AM157" s="11">
        <v>4.7975356</v>
      </c>
      <c r="AN157" s="15">
        <v>0.939393939393939</v>
      </c>
      <c r="AO157" s="19">
        <v>12</v>
      </c>
      <c r="AP157" s="19">
        <v>12</v>
      </c>
      <c r="AQ157" s="19">
        <v>0</v>
      </c>
      <c r="AR157" s="15">
        <v>0</v>
      </c>
    </row>
    <row r="158" spans="1:44">
      <c r="A158" s="3" t="s">
        <v>44</v>
      </c>
      <c r="B158" s="3" t="s">
        <v>45</v>
      </c>
      <c r="C158" s="4" t="s">
        <v>46</v>
      </c>
      <c r="D158" s="5" t="s">
        <v>53</v>
      </c>
      <c r="E158" s="29">
        <v>1</v>
      </c>
      <c r="F158" s="10"/>
      <c r="G158" s="10">
        <v>0.251</v>
      </c>
      <c r="H158" s="10"/>
      <c r="I158" s="10">
        <v>-76.4202878651685</v>
      </c>
      <c r="J158" s="10">
        <v>15.7209761797753</v>
      </c>
      <c r="K158" s="14">
        <v>1</v>
      </c>
      <c r="L158" s="14">
        <v>1</v>
      </c>
      <c r="M158" s="10">
        <v>6.45385197368421</v>
      </c>
      <c r="N158" s="10">
        <v>8.285</v>
      </c>
      <c r="O158" s="14">
        <v>0.970394736842105</v>
      </c>
      <c r="P158" s="18">
        <v>10</v>
      </c>
      <c r="Q158" s="18">
        <v>10</v>
      </c>
      <c r="R158" s="18">
        <v>0</v>
      </c>
      <c r="S158" s="14">
        <v>0</v>
      </c>
      <c r="T158" s="10">
        <v>3.44562126245847</v>
      </c>
      <c r="U158" s="10">
        <v>5.74</v>
      </c>
      <c r="V158" s="14">
        <v>0.79734219269103</v>
      </c>
      <c r="W158" s="18">
        <v>10</v>
      </c>
      <c r="X158" s="18">
        <v>10</v>
      </c>
      <c r="Y158" s="18">
        <v>0</v>
      </c>
      <c r="Z158" s="14">
        <v>0</v>
      </c>
      <c r="AA158" s="10"/>
      <c r="AB158" s="10"/>
      <c r="AC158" s="14"/>
      <c r="AD158" s="14"/>
      <c r="AE158" s="10"/>
      <c r="AF158" s="10"/>
      <c r="AG158" s="14"/>
      <c r="AH158" s="18"/>
      <c r="AI158" s="18"/>
      <c r="AJ158" s="18"/>
      <c r="AK158" s="14"/>
      <c r="AL158" s="10"/>
      <c r="AM158" s="10"/>
      <c r="AN158" s="14"/>
      <c r="AO158" s="18"/>
      <c r="AP158" s="18"/>
      <c r="AQ158" s="18"/>
      <c r="AR158" s="14"/>
    </row>
    <row r="159" spans="1:44">
      <c r="A159" s="3" t="s">
        <v>44</v>
      </c>
      <c r="B159" s="3" t="s">
        <v>48</v>
      </c>
      <c r="C159" s="4" t="s">
        <v>46</v>
      </c>
      <c r="D159" s="5" t="s">
        <v>53</v>
      </c>
      <c r="E159" s="29">
        <v>2</v>
      </c>
      <c r="F159" s="10"/>
      <c r="G159" s="10">
        <v>0.239</v>
      </c>
      <c r="H159" s="10"/>
      <c r="I159" s="10">
        <v>-76.4002697782964</v>
      </c>
      <c r="J159" s="10">
        <v>12.4005943990665</v>
      </c>
      <c r="K159" s="14">
        <v>1</v>
      </c>
      <c r="L159" s="14">
        <v>1</v>
      </c>
      <c r="M159" s="10">
        <v>8.45221854304636</v>
      </c>
      <c r="N159" s="10">
        <v>9.716</v>
      </c>
      <c r="O159" s="14">
        <v>0.996688741721854</v>
      </c>
      <c r="P159" s="18">
        <v>10</v>
      </c>
      <c r="Q159" s="18">
        <v>10</v>
      </c>
      <c r="R159" s="18">
        <v>0</v>
      </c>
      <c r="S159" s="14">
        <v>0</v>
      </c>
      <c r="T159" s="10">
        <v>4.9209701986755</v>
      </c>
      <c r="U159" s="10">
        <v>5.892</v>
      </c>
      <c r="V159" s="14">
        <v>0.993377483443708</v>
      </c>
      <c r="W159" s="18">
        <v>10</v>
      </c>
      <c r="X159" s="18">
        <v>10</v>
      </c>
      <c r="Y159" s="18">
        <v>0</v>
      </c>
      <c r="Z159" s="14">
        <v>0</v>
      </c>
      <c r="AA159" s="10"/>
      <c r="AB159" s="10"/>
      <c r="AC159" s="14"/>
      <c r="AD159" s="14"/>
      <c r="AE159" s="10"/>
      <c r="AF159" s="10"/>
      <c r="AG159" s="14"/>
      <c r="AH159" s="18"/>
      <c r="AI159" s="18"/>
      <c r="AJ159" s="18"/>
      <c r="AK159" s="14"/>
      <c r="AL159" s="10"/>
      <c r="AM159" s="10"/>
      <c r="AN159" s="14"/>
      <c r="AO159" s="18"/>
      <c r="AP159" s="18"/>
      <c r="AQ159" s="18"/>
      <c r="AR159" s="14"/>
    </row>
    <row r="160" spans="1:44">
      <c r="A160" s="3" t="s">
        <v>51</v>
      </c>
      <c r="B160" s="4" t="s">
        <v>58</v>
      </c>
      <c r="C160" s="6" t="s">
        <v>49</v>
      </c>
      <c r="D160" s="6" t="s">
        <v>50</v>
      </c>
      <c r="E160" s="30">
        <v>3</v>
      </c>
      <c r="F160" s="11">
        <v>5.07167007052898</v>
      </c>
      <c r="G160" s="11">
        <v>0.584775</v>
      </c>
      <c r="H160" s="11">
        <v>8.67285720239235</v>
      </c>
      <c r="I160" s="11">
        <v>-76.3826228426092</v>
      </c>
      <c r="J160" s="11">
        <v>9.12237133082873</v>
      </c>
      <c r="K160" s="15">
        <v>0.976788614003248</v>
      </c>
      <c r="L160" s="15">
        <v>0.976788614003248</v>
      </c>
      <c r="M160" s="11">
        <v>6.11282717619048</v>
      </c>
      <c r="N160" s="11">
        <v>8.47872</v>
      </c>
      <c r="O160" s="15">
        <v>0.95952380952381</v>
      </c>
      <c r="P160" s="19">
        <v>14</v>
      </c>
      <c r="Q160" s="19">
        <v>14</v>
      </c>
      <c r="R160" s="19">
        <v>0</v>
      </c>
      <c r="S160" s="15">
        <v>0</v>
      </c>
      <c r="T160" s="11">
        <v>4.23554882735426</v>
      </c>
      <c r="U160" s="11">
        <v>5.73134</v>
      </c>
      <c r="V160" s="15">
        <v>0.993273542600897</v>
      </c>
      <c r="W160" s="19">
        <v>15</v>
      </c>
      <c r="X160" s="19">
        <v>15</v>
      </c>
      <c r="Y160" s="19">
        <v>0</v>
      </c>
      <c r="Z160" s="15">
        <v>0</v>
      </c>
      <c r="AA160" s="11">
        <v>-77.3139340467954</v>
      </c>
      <c r="AB160" s="11">
        <v>9.12684821478103</v>
      </c>
      <c r="AC160" s="15">
        <v>0.986725663716814</v>
      </c>
      <c r="AD160" s="15">
        <v>0.986725663716814</v>
      </c>
      <c r="AE160" s="11">
        <v>6.32215399177257</v>
      </c>
      <c r="AF160" s="11">
        <v>8.1161035</v>
      </c>
      <c r="AG160" s="15">
        <v>0.985507246376812</v>
      </c>
      <c r="AH160" s="19">
        <v>14</v>
      </c>
      <c r="AI160" s="19">
        <v>14</v>
      </c>
      <c r="AJ160" s="19">
        <v>0</v>
      </c>
      <c r="AK160" s="15">
        <v>0</v>
      </c>
      <c r="AL160" s="11">
        <v>4.21392115249655</v>
      </c>
      <c r="AM160" s="11">
        <v>4.817385</v>
      </c>
      <c r="AN160" s="15">
        <v>1</v>
      </c>
      <c r="AO160" s="19">
        <v>15</v>
      </c>
      <c r="AP160" s="19">
        <v>15</v>
      </c>
      <c r="AQ160" s="19">
        <v>0</v>
      </c>
      <c r="AR160" s="15">
        <v>0</v>
      </c>
    </row>
    <row r="161" spans="1:44">
      <c r="A161" s="3" t="s">
        <v>51</v>
      </c>
      <c r="B161" s="6" t="s">
        <v>52</v>
      </c>
      <c r="C161" s="4" t="s">
        <v>49</v>
      </c>
      <c r="D161" s="4" t="s">
        <v>64</v>
      </c>
      <c r="E161" s="30">
        <v>3</v>
      </c>
      <c r="F161" s="11">
        <v>204.621363974154</v>
      </c>
      <c r="G161" s="11">
        <v>9.33107444444444</v>
      </c>
      <c r="H161" s="11">
        <v>21.9290249148084</v>
      </c>
      <c r="I161" s="11">
        <v>-76.3748860590473</v>
      </c>
      <c r="J161" s="11">
        <v>7.86514474188909</v>
      </c>
      <c r="K161" s="15">
        <v>0.947916666666667</v>
      </c>
      <c r="L161" s="15">
        <v>0.948180531567837</v>
      </c>
      <c r="M161" s="11">
        <v>6.67785596029547</v>
      </c>
      <c r="N161" s="11">
        <v>8.61469</v>
      </c>
      <c r="O161" s="15">
        <v>0.94429055093875</v>
      </c>
      <c r="P161" s="19">
        <v>217</v>
      </c>
      <c r="Q161" s="19">
        <v>217</v>
      </c>
      <c r="R161" s="19">
        <v>0</v>
      </c>
      <c r="S161" s="15">
        <v>0</v>
      </c>
      <c r="T161" s="11">
        <v>3.67853323430579</v>
      </c>
      <c r="U161" s="11">
        <v>5.09453</v>
      </c>
      <c r="V161" s="15">
        <v>0.991904689170612</v>
      </c>
      <c r="W161" s="19">
        <v>219</v>
      </c>
      <c r="X161" s="19">
        <v>219</v>
      </c>
      <c r="Y161" s="19">
        <v>0</v>
      </c>
      <c r="Z161" s="15">
        <v>0</v>
      </c>
      <c r="AA161" s="11">
        <v>-77.2910240061394</v>
      </c>
      <c r="AB161" s="11">
        <v>7.61452635943277</v>
      </c>
      <c r="AC161" s="15">
        <v>0.96382905195254</v>
      </c>
      <c r="AD161" s="15">
        <v>0.964635410666974</v>
      </c>
      <c r="AE161" s="11">
        <v>6.57505084965639</v>
      </c>
      <c r="AF161" s="11">
        <v>8.46525733333333</v>
      </c>
      <c r="AG161" s="15">
        <v>0.957274202271498</v>
      </c>
      <c r="AH161" s="19">
        <v>217</v>
      </c>
      <c r="AI161" s="19">
        <v>217</v>
      </c>
      <c r="AJ161" s="19">
        <v>0</v>
      </c>
      <c r="AK161" s="15">
        <v>0</v>
      </c>
      <c r="AL161" s="11">
        <v>3.61565387763988</v>
      </c>
      <c r="AM161" s="11">
        <v>4.795204</v>
      </c>
      <c r="AN161" s="15">
        <v>0.995212765957447</v>
      </c>
      <c r="AO161" s="19">
        <v>219</v>
      </c>
      <c r="AP161" s="19">
        <v>219</v>
      </c>
      <c r="AQ161" s="19">
        <v>0</v>
      </c>
      <c r="AR161" s="15">
        <v>0</v>
      </c>
    </row>
    <row r="162" spans="1:44">
      <c r="A162" s="3" t="s">
        <v>44</v>
      </c>
      <c r="B162" s="7" t="s">
        <v>60</v>
      </c>
      <c r="C162" s="8" t="s">
        <v>49</v>
      </c>
      <c r="D162" s="8" t="s">
        <v>64</v>
      </c>
      <c r="E162" s="30">
        <v>1</v>
      </c>
      <c r="F162" s="10">
        <v>220.96</v>
      </c>
      <c r="G162" s="10">
        <v>5.739</v>
      </c>
      <c r="H162" s="10">
        <v>38.5014810942673</v>
      </c>
      <c r="I162" s="10">
        <v>-76.2343594929567</v>
      </c>
      <c r="J162" s="10">
        <v>9.40346388824033</v>
      </c>
      <c r="K162" s="14">
        <v>0.938001011751887</v>
      </c>
      <c r="L162" s="14">
        <v>0.93958673826757</v>
      </c>
      <c r="M162" s="10">
        <v>7.03298610543523</v>
      </c>
      <c r="N162" s="10">
        <v>8.967</v>
      </c>
      <c r="O162" s="14">
        <v>0.955591881215093</v>
      </c>
      <c r="P162" s="18">
        <v>241</v>
      </c>
      <c r="Q162" s="18">
        <v>241</v>
      </c>
      <c r="R162" s="18">
        <v>0</v>
      </c>
      <c r="S162" s="14">
        <v>0</v>
      </c>
      <c r="T162" s="10">
        <v>3.88544076291243</v>
      </c>
      <c r="U162" s="10">
        <v>5.741</v>
      </c>
      <c r="V162" s="14">
        <v>0.904496728386468</v>
      </c>
      <c r="W162" s="18">
        <v>239</v>
      </c>
      <c r="X162" s="18">
        <v>239</v>
      </c>
      <c r="Y162" s="18">
        <v>0</v>
      </c>
      <c r="Z162" s="14">
        <v>0</v>
      </c>
      <c r="AA162" s="10">
        <v>-77.0506308890926</v>
      </c>
      <c r="AB162" s="10">
        <v>8.15921979835014</v>
      </c>
      <c r="AC162" s="14">
        <v>0.926214482126489</v>
      </c>
      <c r="AD162" s="14">
        <v>0.928505957836847</v>
      </c>
      <c r="AE162" s="10">
        <v>6.53888516168027</v>
      </c>
      <c r="AF162" s="10">
        <v>8.795</v>
      </c>
      <c r="AG162" s="14">
        <v>0.938047748564521</v>
      </c>
      <c r="AH162" s="18">
        <v>241</v>
      </c>
      <c r="AI162" s="18">
        <v>241</v>
      </c>
      <c r="AJ162" s="18">
        <v>0</v>
      </c>
      <c r="AK162" s="14">
        <v>0</v>
      </c>
      <c r="AL162" s="10">
        <v>3.61083794117647</v>
      </c>
      <c r="AM162" s="10">
        <v>5.554</v>
      </c>
      <c r="AN162" s="14">
        <v>0.905294117647059</v>
      </c>
      <c r="AO162" s="18">
        <v>239</v>
      </c>
      <c r="AP162" s="18">
        <v>239</v>
      </c>
      <c r="AQ162" s="18">
        <v>0</v>
      </c>
      <c r="AR162" s="14">
        <v>0</v>
      </c>
    </row>
    <row r="163" spans="1:44">
      <c r="A163" s="3" t="s">
        <v>51</v>
      </c>
      <c r="B163" s="5" t="s">
        <v>63</v>
      </c>
      <c r="C163" s="5" t="s">
        <v>49</v>
      </c>
      <c r="D163" s="5" t="s">
        <v>64</v>
      </c>
      <c r="E163" s="31">
        <v>2</v>
      </c>
      <c r="F163" s="11">
        <v>210.97980468601</v>
      </c>
      <c r="G163" s="11">
        <v>4.95930611111111</v>
      </c>
      <c r="H163" s="11">
        <v>42.5422024692766</v>
      </c>
      <c r="I163" s="11">
        <v>-76.2300660237095</v>
      </c>
      <c r="J163" s="11">
        <v>10.0241565510006</v>
      </c>
      <c r="K163" s="15">
        <v>0.963043182436723</v>
      </c>
      <c r="L163" s="15">
        <v>0.964086455592851</v>
      </c>
      <c r="M163" s="11">
        <v>8.11295098107972</v>
      </c>
      <c r="N163" s="11">
        <v>9.98395</v>
      </c>
      <c r="O163" s="15">
        <v>0.973259334006054</v>
      </c>
      <c r="P163" s="19">
        <v>134</v>
      </c>
      <c r="Q163" s="19">
        <v>134</v>
      </c>
      <c r="R163" s="19">
        <v>0</v>
      </c>
      <c r="S163" s="15">
        <v>0</v>
      </c>
      <c r="T163" s="11">
        <v>4.4710466641791</v>
      </c>
      <c r="U163" s="11">
        <v>6.09829</v>
      </c>
      <c r="V163" s="15">
        <v>0.991293532338308</v>
      </c>
      <c r="W163" s="19">
        <v>134</v>
      </c>
      <c r="X163" s="19">
        <v>134</v>
      </c>
      <c r="Y163" s="19">
        <v>0</v>
      </c>
      <c r="Z163" s="15">
        <v>0</v>
      </c>
      <c r="AA163" s="11">
        <v>-77.614566651265</v>
      </c>
      <c r="AB163" s="11">
        <v>9.94818526436508</v>
      </c>
      <c r="AC163" s="15">
        <v>0.971717171717172</v>
      </c>
      <c r="AD163" s="15">
        <v>0.973961840628507</v>
      </c>
      <c r="AE163" s="11">
        <v>8.09729074438731</v>
      </c>
      <c r="AF163" s="11">
        <v>9.919872</v>
      </c>
      <c r="AG163" s="15">
        <v>0.973264781491003</v>
      </c>
      <c r="AH163" s="19">
        <v>134</v>
      </c>
      <c r="AI163" s="19">
        <v>134</v>
      </c>
      <c r="AJ163" s="19">
        <v>0</v>
      </c>
      <c r="AK163" s="15">
        <v>0</v>
      </c>
      <c r="AL163" s="11">
        <v>4.43743114077196</v>
      </c>
      <c r="AM163" s="11">
        <v>5.65948933333333</v>
      </c>
      <c r="AN163" s="15">
        <v>0.995110024449878</v>
      </c>
      <c r="AO163" s="19">
        <v>134</v>
      </c>
      <c r="AP163" s="19">
        <v>134</v>
      </c>
      <c r="AQ163" s="19">
        <v>0</v>
      </c>
      <c r="AR163" s="15">
        <v>0</v>
      </c>
    </row>
    <row r="164" spans="1:44">
      <c r="A164" s="3" t="s">
        <v>51</v>
      </c>
      <c r="B164" s="6" t="s">
        <v>52</v>
      </c>
      <c r="C164" s="4" t="s">
        <v>49</v>
      </c>
      <c r="D164" s="4" t="s">
        <v>64</v>
      </c>
      <c r="E164" s="30">
        <v>2</v>
      </c>
      <c r="F164" s="11">
        <v>204.558264770746</v>
      </c>
      <c r="G164" s="11">
        <v>9.33303944444445</v>
      </c>
      <c r="H164" s="11">
        <v>21.9176470846816</v>
      </c>
      <c r="I164" s="11">
        <v>-76.1783024059473</v>
      </c>
      <c r="J164" s="11">
        <v>8.77537373299946</v>
      </c>
      <c r="K164" s="15">
        <v>0.955054298426063</v>
      </c>
      <c r="L164" s="15">
        <v>0.955203798497823</v>
      </c>
      <c r="M164" s="11">
        <v>6.48362866563754</v>
      </c>
      <c r="N164" s="11">
        <v>8.52488</v>
      </c>
      <c r="O164" s="15">
        <v>0.942111762889781</v>
      </c>
      <c r="P164" s="19">
        <v>219</v>
      </c>
      <c r="Q164" s="19">
        <v>218</v>
      </c>
      <c r="R164" s="19">
        <v>0</v>
      </c>
      <c r="S164" s="15">
        <v>0</v>
      </c>
      <c r="T164" s="11">
        <v>4.04592340293436</v>
      </c>
      <c r="U164" s="11">
        <v>5.42914</v>
      </c>
      <c r="V164" s="15">
        <v>0.987490347490347</v>
      </c>
      <c r="W164" s="19">
        <v>217</v>
      </c>
      <c r="X164" s="19">
        <v>217</v>
      </c>
      <c r="Y164" s="19">
        <v>0</v>
      </c>
      <c r="Z164" s="15">
        <v>0</v>
      </c>
      <c r="AA164" s="11">
        <v>-76.6685398214509</v>
      </c>
      <c r="AB164" s="11">
        <v>8.63333397452464</v>
      </c>
      <c r="AC164" s="15">
        <v>0.966597558166321</v>
      </c>
      <c r="AD164" s="15">
        <v>0.966943100668049</v>
      </c>
      <c r="AE164" s="11">
        <v>6.30883810599722</v>
      </c>
      <c r="AF164" s="11">
        <v>8.40678833333333</v>
      </c>
      <c r="AG164" s="15">
        <v>0.936393805309734</v>
      </c>
      <c r="AH164" s="19">
        <v>219</v>
      </c>
      <c r="AI164" s="19">
        <v>218</v>
      </c>
      <c r="AJ164" s="19">
        <v>0</v>
      </c>
      <c r="AK164" s="15">
        <v>0</v>
      </c>
      <c r="AL164" s="11">
        <v>4.01456039224198</v>
      </c>
      <c r="AM164" s="11">
        <v>4.967211</v>
      </c>
      <c r="AN164" s="15">
        <v>0.992420140768814</v>
      </c>
      <c r="AO164" s="19">
        <v>217</v>
      </c>
      <c r="AP164" s="19">
        <v>217</v>
      </c>
      <c r="AQ164" s="19">
        <v>0</v>
      </c>
      <c r="AR164" s="15">
        <v>0</v>
      </c>
    </row>
    <row r="165" spans="1:44">
      <c r="A165" s="3" t="s">
        <v>51</v>
      </c>
      <c r="B165" s="4" t="s">
        <v>62</v>
      </c>
      <c r="C165" s="4" t="s">
        <v>49</v>
      </c>
      <c r="D165" s="4" t="s">
        <v>50</v>
      </c>
      <c r="E165" s="30">
        <v>3</v>
      </c>
      <c r="F165" s="11">
        <v>2.2018492013216</v>
      </c>
      <c r="G165" s="11">
        <v>0</v>
      </c>
      <c r="H165" s="11" t="s">
        <v>54</v>
      </c>
      <c r="I165" s="11">
        <v>-76.1370833808171</v>
      </c>
      <c r="J165" s="11">
        <v>5.93678845413804</v>
      </c>
      <c r="K165" s="15">
        <v>0.930417244422035</v>
      </c>
      <c r="L165" s="15">
        <v>0.930417244422035</v>
      </c>
      <c r="M165" s="11">
        <v>8.03004247147147</v>
      </c>
      <c r="N165" s="11">
        <v>10.3371</v>
      </c>
      <c r="O165" s="15">
        <v>0.903903903903904</v>
      </c>
      <c r="P165" s="19">
        <v>12</v>
      </c>
      <c r="Q165" s="19">
        <v>12</v>
      </c>
      <c r="R165" s="19">
        <v>0</v>
      </c>
      <c r="S165" s="15">
        <v>0</v>
      </c>
      <c r="T165" s="11">
        <v>4.78084879722222</v>
      </c>
      <c r="U165" s="11">
        <v>5.14573</v>
      </c>
      <c r="V165" s="15">
        <v>1</v>
      </c>
      <c r="W165" s="19">
        <v>12</v>
      </c>
      <c r="X165" s="19">
        <v>12</v>
      </c>
      <c r="Y165" s="19">
        <v>0</v>
      </c>
      <c r="Z165" s="15">
        <v>0</v>
      </c>
      <c r="AA165" s="11">
        <v>-76.4718135101502</v>
      </c>
      <c r="AB165" s="11">
        <v>5.64957731872243</v>
      </c>
      <c r="AC165" s="15">
        <v>0.954128440366973</v>
      </c>
      <c r="AD165" s="15">
        <v>0.954128440366973</v>
      </c>
      <c r="AE165" s="11">
        <v>7.7236570089053</v>
      </c>
      <c r="AF165" s="11">
        <v>9.9339265</v>
      </c>
      <c r="AG165" s="15">
        <v>1</v>
      </c>
      <c r="AH165" s="19">
        <v>12</v>
      </c>
      <c r="AI165" s="19">
        <v>12</v>
      </c>
      <c r="AJ165" s="19">
        <v>0</v>
      </c>
      <c r="AK165" s="15">
        <v>0</v>
      </c>
      <c r="AL165" s="11">
        <v>4.83696543979485</v>
      </c>
      <c r="AM165" s="11">
        <v>5.135406</v>
      </c>
      <c r="AN165" s="15">
        <v>1</v>
      </c>
      <c r="AO165" s="19">
        <v>12</v>
      </c>
      <c r="AP165" s="19">
        <v>12</v>
      </c>
      <c r="AQ165" s="19">
        <v>0</v>
      </c>
      <c r="AR165" s="15">
        <v>0</v>
      </c>
    </row>
    <row r="166" spans="1:44">
      <c r="A166" s="3" t="s">
        <v>44</v>
      </c>
      <c r="B166" s="3" t="s">
        <v>59</v>
      </c>
      <c r="C166" s="4" t="s">
        <v>49</v>
      </c>
      <c r="D166" s="4" t="s">
        <v>64</v>
      </c>
      <c r="E166" s="30">
        <v>3</v>
      </c>
      <c r="F166" s="10">
        <v>280.433</v>
      </c>
      <c r="G166" s="10">
        <v>5.985</v>
      </c>
      <c r="H166" s="10">
        <v>46.8559732664996</v>
      </c>
      <c r="I166" s="10">
        <v>-76.0249763258841</v>
      </c>
      <c r="J166" s="10">
        <v>5.88658564094735</v>
      </c>
      <c r="K166" s="14">
        <v>0.885112311303651</v>
      </c>
      <c r="L166" s="14">
        <v>0.88565621481326</v>
      </c>
      <c r="M166" s="10">
        <v>4.62172901210465</v>
      </c>
      <c r="N166" s="10">
        <v>9.253</v>
      </c>
      <c r="O166" s="14">
        <v>0.610048158271508</v>
      </c>
      <c r="P166" s="18">
        <v>252</v>
      </c>
      <c r="Q166" s="18">
        <v>252</v>
      </c>
      <c r="R166" s="18">
        <v>0</v>
      </c>
      <c r="S166" s="14">
        <v>0</v>
      </c>
      <c r="T166" s="10">
        <v>4.32282400105152</v>
      </c>
      <c r="U166" s="10">
        <v>5.686</v>
      </c>
      <c r="V166" s="14">
        <v>0.972134595162986</v>
      </c>
      <c r="W166" s="18">
        <v>253</v>
      </c>
      <c r="X166" s="18">
        <v>253</v>
      </c>
      <c r="Y166" s="18">
        <v>0</v>
      </c>
      <c r="Z166" s="14">
        <v>0</v>
      </c>
      <c r="AA166" s="10">
        <v>-76.3487369545099</v>
      </c>
      <c r="AB166" s="10">
        <v>5.94977753256923</v>
      </c>
      <c r="AC166" s="14">
        <v>0.900832918060796</v>
      </c>
      <c r="AD166" s="14">
        <v>0.901260055527871</v>
      </c>
      <c r="AE166" s="10">
        <v>4.90676737451737</v>
      </c>
      <c r="AF166" s="10">
        <v>9.286</v>
      </c>
      <c r="AG166" s="14">
        <v>0.658301158301158</v>
      </c>
      <c r="AH166" s="18">
        <v>252</v>
      </c>
      <c r="AI166" s="18">
        <v>252</v>
      </c>
      <c r="AJ166" s="18">
        <v>0</v>
      </c>
      <c r="AK166" s="14">
        <v>0</v>
      </c>
      <c r="AL166" s="10">
        <v>4.36282729211087</v>
      </c>
      <c r="AM166" s="10">
        <v>5.578</v>
      </c>
      <c r="AN166" s="14">
        <v>0.981520966595594</v>
      </c>
      <c r="AO166" s="18">
        <v>253</v>
      </c>
      <c r="AP166" s="18">
        <v>253</v>
      </c>
      <c r="AQ166" s="18">
        <v>0</v>
      </c>
      <c r="AR166" s="14">
        <v>0</v>
      </c>
    </row>
    <row r="167" spans="1:44">
      <c r="A167" s="3" t="s">
        <v>51</v>
      </c>
      <c r="B167" s="5" t="s">
        <v>63</v>
      </c>
      <c r="C167" s="5" t="s">
        <v>49</v>
      </c>
      <c r="D167" s="5" t="s">
        <v>64</v>
      </c>
      <c r="E167" s="31">
        <v>3</v>
      </c>
      <c r="F167" s="11">
        <v>211.005705326974</v>
      </c>
      <c r="G167" s="11">
        <v>4.96035527777778</v>
      </c>
      <c r="H167" s="11">
        <v>42.5384258809591</v>
      </c>
      <c r="I167" s="11">
        <v>-76.018052468661</v>
      </c>
      <c r="J167" s="11">
        <v>10.2191307159787</v>
      </c>
      <c r="K167" s="15">
        <v>0.96054787708929</v>
      </c>
      <c r="L167" s="15">
        <v>0.961790997547662</v>
      </c>
      <c r="M167" s="11">
        <v>8.16678475187219</v>
      </c>
      <c r="N167" s="11">
        <v>9.98056</v>
      </c>
      <c r="O167" s="15">
        <v>0.978781827259111</v>
      </c>
      <c r="P167" s="19">
        <v>134</v>
      </c>
      <c r="Q167" s="19">
        <v>134</v>
      </c>
      <c r="R167" s="19">
        <v>0</v>
      </c>
      <c r="S167" s="15">
        <v>0</v>
      </c>
      <c r="T167" s="11">
        <v>4.47110237437811</v>
      </c>
      <c r="U167" s="11">
        <v>6.04975</v>
      </c>
      <c r="V167" s="15">
        <v>0.996019900497512</v>
      </c>
      <c r="W167" s="19">
        <v>134</v>
      </c>
      <c r="X167" s="19">
        <v>134</v>
      </c>
      <c r="Y167" s="19">
        <v>0</v>
      </c>
      <c r="Z167" s="15">
        <v>0</v>
      </c>
      <c r="AA167" s="11">
        <v>-77.1704502240764</v>
      </c>
      <c r="AB167" s="11">
        <v>10.0991773286578</v>
      </c>
      <c r="AC167" s="15">
        <v>0.968907845998429</v>
      </c>
      <c r="AD167" s="15">
        <v>0.970928274778314</v>
      </c>
      <c r="AE167" s="11">
        <v>8.19421418482213</v>
      </c>
      <c r="AF167" s="11">
        <v>9.950552</v>
      </c>
      <c r="AG167" s="15">
        <v>0.978526110297706</v>
      </c>
      <c r="AH167" s="19">
        <v>134</v>
      </c>
      <c r="AI167" s="19">
        <v>134</v>
      </c>
      <c r="AJ167" s="19">
        <v>0</v>
      </c>
      <c r="AK167" s="15">
        <v>0</v>
      </c>
      <c r="AL167" s="11">
        <v>4.43359613429644</v>
      </c>
      <c r="AM167" s="11">
        <v>5.456369</v>
      </c>
      <c r="AN167" s="15">
        <v>0.997979797979798</v>
      </c>
      <c r="AO167" s="19">
        <v>134</v>
      </c>
      <c r="AP167" s="19">
        <v>134</v>
      </c>
      <c r="AQ167" s="19">
        <v>0</v>
      </c>
      <c r="AR167" s="15">
        <v>0</v>
      </c>
    </row>
    <row r="168" spans="1:44">
      <c r="A168" s="3" t="s">
        <v>51</v>
      </c>
      <c r="B168" s="4" t="s">
        <v>62</v>
      </c>
      <c r="C168" s="4" t="s">
        <v>49</v>
      </c>
      <c r="D168" s="4" t="s">
        <v>64</v>
      </c>
      <c r="E168" s="30">
        <v>3</v>
      </c>
      <c r="F168" s="11">
        <v>215.557778645277</v>
      </c>
      <c r="G168" s="11">
        <v>8.31359166666667</v>
      </c>
      <c r="H168" s="11">
        <v>25.9283577168645</v>
      </c>
      <c r="I168" s="11">
        <v>-75.9834648049145</v>
      </c>
      <c r="J168" s="11">
        <v>8.32963235319265</v>
      </c>
      <c r="K168" s="15">
        <v>0.958806904005854</v>
      </c>
      <c r="L168" s="15">
        <v>0.959129144652484</v>
      </c>
      <c r="M168" s="11">
        <v>8.16092217566729</v>
      </c>
      <c r="N168" s="11">
        <v>9.62251</v>
      </c>
      <c r="O168" s="15">
        <v>0.985412787088765</v>
      </c>
      <c r="P168" s="19">
        <v>216</v>
      </c>
      <c r="Q168" s="19">
        <v>215</v>
      </c>
      <c r="R168" s="19">
        <v>1</v>
      </c>
      <c r="S168" s="15">
        <v>0.00465116279069767</v>
      </c>
      <c r="T168" s="11">
        <v>4.56511235323077</v>
      </c>
      <c r="U168" s="11">
        <v>5.45637</v>
      </c>
      <c r="V168" s="15">
        <v>0.994769230769231</v>
      </c>
      <c r="W168" s="19">
        <v>217</v>
      </c>
      <c r="X168" s="19">
        <v>217</v>
      </c>
      <c r="Y168" s="19">
        <v>0</v>
      </c>
      <c r="Z168" s="15">
        <v>0</v>
      </c>
      <c r="AA168" s="11">
        <v>-75.6564687476293</v>
      </c>
      <c r="AB168" s="11">
        <v>7.97779923892796</v>
      </c>
      <c r="AC168" s="15">
        <v>0.963383699128708</v>
      </c>
      <c r="AD168" s="15">
        <v>0.9640454395059</v>
      </c>
      <c r="AE168" s="11">
        <v>8.06007369888225</v>
      </c>
      <c r="AF168" s="11">
        <v>9.506372</v>
      </c>
      <c r="AG168" s="15">
        <v>0.98876404494382</v>
      </c>
      <c r="AH168" s="19">
        <v>216</v>
      </c>
      <c r="AI168" s="19">
        <v>215</v>
      </c>
      <c r="AJ168" s="19">
        <v>1</v>
      </c>
      <c r="AK168" s="15">
        <v>0.00465116279069767</v>
      </c>
      <c r="AL168" s="11">
        <v>4.54171717491152</v>
      </c>
      <c r="AM168" s="11">
        <v>5.13026</v>
      </c>
      <c r="AN168" s="15">
        <v>0.996275605214153</v>
      </c>
      <c r="AO168" s="19">
        <v>217</v>
      </c>
      <c r="AP168" s="19">
        <v>217</v>
      </c>
      <c r="AQ168" s="19">
        <v>0</v>
      </c>
      <c r="AR168" s="15">
        <v>0</v>
      </c>
    </row>
    <row r="169" spans="1:44">
      <c r="A169" s="3" t="s">
        <v>44</v>
      </c>
      <c r="B169" s="3" t="s">
        <v>48</v>
      </c>
      <c r="C169" s="4" t="s">
        <v>46</v>
      </c>
      <c r="D169" s="5" t="s">
        <v>53</v>
      </c>
      <c r="E169" s="29">
        <v>2</v>
      </c>
      <c r="F169" s="10"/>
      <c r="G169" s="10">
        <v>0.238</v>
      </c>
      <c r="H169" s="10"/>
      <c r="I169" s="10">
        <v>-75.977685729276</v>
      </c>
      <c r="J169" s="10">
        <v>23.1761419202518</v>
      </c>
      <c r="K169" s="14">
        <v>1</v>
      </c>
      <c r="L169" s="14">
        <v>1</v>
      </c>
      <c r="M169" s="10">
        <v>9.1889348534202</v>
      </c>
      <c r="N169" s="10">
        <v>9.941</v>
      </c>
      <c r="O169" s="14">
        <v>0.996742671009772</v>
      </c>
      <c r="P169" s="18">
        <v>10</v>
      </c>
      <c r="Q169" s="18">
        <v>10</v>
      </c>
      <c r="R169" s="18">
        <v>0</v>
      </c>
      <c r="S169" s="14">
        <v>0</v>
      </c>
      <c r="T169" s="10">
        <v>4.76202675585284</v>
      </c>
      <c r="U169" s="10">
        <v>5.99</v>
      </c>
      <c r="V169" s="14">
        <v>0.996655518394649</v>
      </c>
      <c r="W169" s="18">
        <v>10</v>
      </c>
      <c r="X169" s="18">
        <v>10</v>
      </c>
      <c r="Y169" s="18">
        <v>0</v>
      </c>
      <c r="Z169" s="14">
        <v>0</v>
      </c>
      <c r="AA169" s="10"/>
      <c r="AB169" s="10"/>
      <c r="AC169" s="14"/>
      <c r="AD169" s="14"/>
      <c r="AE169" s="10"/>
      <c r="AF169" s="10"/>
      <c r="AG169" s="14"/>
      <c r="AH169" s="18"/>
      <c r="AI169" s="18"/>
      <c r="AJ169" s="18"/>
      <c r="AK169" s="14"/>
      <c r="AL169" s="10"/>
      <c r="AM169" s="10"/>
      <c r="AN169" s="14"/>
      <c r="AO169" s="18"/>
      <c r="AP169" s="18"/>
      <c r="AQ169" s="18"/>
      <c r="AR169" s="14"/>
    </row>
    <row r="170" spans="1:44">
      <c r="A170" s="3" t="s">
        <v>51</v>
      </c>
      <c r="B170" s="4" t="s">
        <v>58</v>
      </c>
      <c r="C170" s="5" t="s">
        <v>46</v>
      </c>
      <c r="D170" s="6" t="s">
        <v>53</v>
      </c>
      <c r="E170" s="30">
        <v>1</v>
      </c>
      <c r="F170" s="11" t="s">
        <v>54</v>
      </c>
      <c r="G170" s="11">
        <v>0.402361111111111</v>
      </c>
      <c r="H170" s="11" t="s">
        <v>54</v>
      </c>
      <c r="I170" s="11">
        <v>-75.9153380886621</v>
      </c>
      <c r="J170" s="11">
        <v>1.98723662855395</v>
      </c>
      <c r="K170" s="15">
        <v>0.947925368978001</v>
      </c>
      <c r="L170" s="15">
        <v>0.947925368978001</v>
      </c>
      <c r="M170" s="11">
        <v>5.74405500333333</v>
      </c>
      <c r="N170" s="11">
        <v>9.18156</v>
      </c>
      <c r="O170" s="15">
        <v>0.863333333333333</v>
      </c>
      <c r="P170" s="19">
        <v>10</v>
      </c>
      <c r="Q170" s="19">
        <v>10</v>
      </c>
      <c r="R170" s="19">
        <v>0</v>
      </c>
      <c r="S170" s="15">
        <v>0</v>
      </c>
      <c r="T170" s="11">
        <v>4.18892128333333</v>
      </c>
      <c r="U170" s="11">
        <v>5.13026</v>
      </c>
      <c r="V170" s="15">
        <v>0.986666666666667</v>
      </c>
      <c r="W170" s="19">
        <v>10</v>
      </c>
      <c r="X170" s="19">
        <v>10</v>
      </c>
      <c r="Y170" s="19">
        <v>0</v>
      </c>
      <c r="Z170" s="15">
        <v>0</v>
      </c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</row>
    <row r="171" spans="1:44">
      <c r="A171" s="3" t="s">
        <v>44</v>
      </c>
      <c r="B171" s="3" t="s">
        <v>56</v>
      </c>
      <c r="C171" s="4" t="s">
        <v>49</v>
      </c>
      <c r="D171" s="5" t="s">
        <v>61</v>
      </c>
      <c r="E171" s="29">
        <v>2</v>
      </c>
      <c r="F171" s="10">
        <v>2.862</v>
      </c>
      <c r="G171" s="10">
        <v>0.653</v>
      </c>
      <c r="H171" s="10">
        <v>4.38284839203675</v>
      </c>
      <c r="I171" s="10">
        <v>-75.9118624853564</v>
      </c>
      <c r="J171" s="10">
        <v>9.37775975488871</v>
      </c>
      <c r="K171" s="14">
        <v>0.98386951428314</v>
      </c>
      <c r="L171" s="14">
        <v>0.98386951428314</v>
      </c>
      <c r="M171" s="10">
        <v>8.39594607268464</v>
      </c>
      <c r="N171" s="10">
        <v>9.907</v>
      </c>
      <c r="O171" s="14">
        <v>0.995310668229777</v>
      </c>
      <c r="P171" s="18">
        <v>28</v>
      </c>
      <c r="Q171" s="18">
        <v>28</v>
      </c>
      <c r="R171" s="18">
        <v>0</v>
      </c>
      <c r="S171" s="14">
        <v>0</v>
      </c>
      <c r="T171" s="10">
        <v>4.91052592592593</v>
      </c>
      <c r="U171" s="10">
        <v>5.76</v>
      </c>
      <c r="V171" s="14">
        <v>1</v>
      </c>
      <c r="W171" s="18">
        <v>27</v>
      </c>
      <c r="X171" s="18">
        <v>27</v>
      </c>
      <c r="Y171" s="18">
        <v>0</v>
      </c>
      <c r="Z171" s="14">
        <v>0</v>
      </c>
      <c r="AA171" s="10">
        <v>-75.5978379888268</v>
      </c>
      <c r="AB171" s="10">
        <v>9.30982681564246</v>
      </c>
      <c r="AC171" s="14">
        <v>1</v>
      </c>
      <c r="AD171" s="14">
        <v>1</v>
      </c>
      <c r="AE171" s="10">
        <v>8.41054545454545</v>
      </c>
      <c r="AF171" s="10">
        <v>9.85</v>
      </c>
      <c r="AG171" s="14">
        <v>1</v>
      </c>
      <c r="AH171" s="18">
        <v>28</v>
      </c>
      <c r="AI171" s="18">
        <v>28</v>
      </c>
      <c r="AJ171" s="18">
        <v>0</v>
      </c>
      <c r="AK171" s="14">
        <v>0</v>
      </c>
      <c r="AL171" s="10">
        <v>4.92841772151899</v>
      </c>
      <c r="AM171" s="10">
        <v>5.282</v>
      </c>
      <c r="AN171" s="14">
        <v>1</v>
      </c>
      <c r="AO171" s="18">
        <v>27</v>
      </c>
      <c r="AP171" s="18">
        <v>27</v>
      </c>
      <c r="AQ171" s="18">
        <v>0</v>
      </c>
      <c r="AR171" s="14">
        <v>0</v>
      </c>
    </row>
    <row r="172" spans="1:44">
      <c r="A172" s="3" t="s">
        <v>51</v>
      </c>
      <c r="B172" s="6" t="s">
        <v>55</v>
      </c>
      <c r="C172" s="6" t="s">
        <v>49</v>
      </c>
      <c r="D172" s="6" t="s">
        <v>50</v>
      </c>
      <c r="E172" s="31">
        <v>3</v>
      </c>
      <c r="F172" s="11">
        <v>1.83681998944283</v>
      </c>
      <c r="G172" s="11">
        <v>0.400391666666667</v>
      </c>
      <c r="H172" s="11">
        <v>4.58755798974211</v>
      </c>
      <c r="I172" s="11">
        <v>-75.6883066683749</v>
      </c>
      <c r="J172" s="11">
        <v>14.1448249231236</v>
      </c>
      <c r="K172" s="15">
        <v>0.9932716568545</v>
      </c>
      <c r="L172" s="15">
        <v>0.9932716568545</v>
      </c>
      <c r="M172" s="11">
        <v>9.19102327666667</v>
      </c>
      <c r="N172" s="11">
        <v>10.1153</v>
      </c>
      <c r="O172" s="15">
        <v>1</v>
      </c>
      <c r="P172" s="19">
        <v>10</v>
      </c>
      <c r="Q172" s="19">
        <v>10</v>
      </c>
      <c r="R172" s="19">
        <v>0</v>
      </c>
      <c r="S172" s="15">
        <v>0</v>
      </c>
      <c r="T172" s="11">
        <v>4.44601019090909</v>
      </c>
      <c r="U172" s="11">
        <v>5.77733</v>
      </c>
      <c r="V172" s="15">
        <v>1</v>
      </c>
      <c r="W172" s="19">
        <v>11</v>
      </c>
      <c r="X172" s="19">
        <v>11</v>
      </c>
      <c r="Y172" s="19">
        <v>0</v>
      </c>
      <c r="Z172" s="15">
        <v>0</v>
      </c>
      <c r="AA172" s="11">
        <v>-76.3630577523067</v>
      </c>
      <c r="AB172" s="11">
        <v>13.8759575384999</v>
      </c>
      <c r="AC172" s="15">
        <v>1</v>
      </c>
      <c r="AD172" s="15">
        <v>1</v>
      </c>
      <c r="AE172" s="11">
        <v>9.21084694053312</v>
      </c>
      <c r="AF172" s="11">
        <v>9.9433154</v>
      </c>
      <c r="AG172" s="15">
        <v>1</v>
      </c>
      <c r="AH172" s="19">
        <v>10</v>
      </c>
      <c r="AI172" s="19">
        <v>10</v>
      </c>
      <c r="AJ172" s="19">
        <v>0</v>
      </c>
      <c r="AK172" s="15">
        <v>0</v>
      </c>
      <c r="AL172" s="11">
        <v>4.53236352618411</v>
      </c>
      <c r="AM172" s="11">
        <v>4.91154833333333</v>
      </c>
      <c r="AN172" s="15">
        <v>1</v>
      </c>
      <c r="AO172" s="19">
        <v>11</v>
      </c>
      <c r="AP172" s="19">
        <v>11</v>
      </c>
      <c r="AQ172" s="19">
        <v>0</v>
      </c>
      <c r="AR172" s="15">
        <v>0</v>
      </c>
    </row>
    <row r="173" spans="1:44">
      <c r="A173" s="3" t="s">
        <v>44</v>
      </c>
      <c r="B173" s="3" t="s">
        <v>59</v>
      </c>
      <c r="C173" s="4" t="s">
        <v>46</v>
      </c>
      <c r="D173" s="5" t="s">
        <v>53</v>
      </c>
      <c r="E173" s="29">
        <v>2</v>
      </c>
      <c r="F173" s="10"/>
      <c r="G173" s="10">
        <v>0.241</v>
      </c>
      <c r="H173" s="10"/>
      <c r="I173" s="10">
        <v>-75.4293437733035</v>
      </c>
      <c r="J173" s="10">
        <v>1.62704474272931</v>
      </c>
      <c r="K173" s="14">
        <v>0.9480487198608</v>
      </c>
      <c r="L173" s="14">
        <v>0.9480487198608</v>
      </c>
      <c r="M173" s="10">
        <v>5.67265901639344</v>
      </c>
      <c r="N173" s="10">
        <v>8.321</v>
      </c>
      <c r="O173" s="14">
        <v>0.963934426229508</v>
      </c>
      <c r="P173" s="18">
        <v>10</v>
      </c>
      <c r="Q173" s="18">
        <v>10</v>
      </c>
      <c r="R173" s="18">
        <v>0</v>
      </c>
      <c r="S173" s="14">
        <v>0</v>
      </c>
      <c r="T173" s="10">
        <v>4.72687458745875</v>
      </c>
      <c r="U173" s="10">
        <v>5.522</v>
      </c>
      <c r="V173" s="14">
        <v>0.996699669966997</v>
      </c>
      <c r="W173" s="18">
        <v>10</v>
      </c>
      <c r="X173" s="18">
        <v>10</v>
      </c>
      <c r="Y173" s="18">
        <v>0</v>
      </c>
      <c r="Z173" s="14">
        <v>0</v>
      </c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</row>
    <row r="174" spans="1:44">
      <c r="A174" s="3" t="s">
        <v>44</v>
      </c>
      <c r="B174" s="3" t="s">
        <v>59</v>
      </c>
      <c r="C174" s="4" t="s">
        <v>46</v>
      </c>
      <c r="D174" s="5" t="s">
        <v>53</v>
      </c>
      <c r="E174" s="29">
        <v>3</v>
      </c>
      <c r="F174" s="10"/>
      <c r="G174" s="10">
        <v>0.241</v>
      </c>
      <c r="H174" s="10"/>
      <c r="I174" s="10">
        <v>-75.3791468272348</v>
      </c>
      <c r="J174" s="10">
        <v>6.51138212135248</v>
      </c>
      <c r="K174" s="14">
        <v>1</v>
      </c>
      <c r="L174" s="14">
        <v>1</v>
      </c>
      <c r="M174" s="10">
        <v>9.09370297029703</v>
      </c>
      <c r="N174" s="10">
        <v>9.806</v>
      </c>
      <c r="O174" s="14">
        <v>0.993399339933993</v>
      </c>
      <c r="P174" s="18">
        <v>10</v>
      </c>
      <c r="Q174" s="18">
        <v>10</v>
      </c>
      <c r="R174" s="18">
        <v>0</v>
      </c>
      <c r="S174" s="14">
        <v>0</v>
      </c>
      <c r="T174" s="10">
        <v>4.95523588039867</v>
      </c>
      <c r="U174" s="10">
        <v>5.979</v>
      </c>
      <c r="V174" s="14">
        <v>0.996677740863787</v>
      </c>
      <c r="W174" s="18">
        <v>10</v>
      </c>
      <c r="X174" s="18">
        <v>10</v>
      </c>
      <c r="Y174" s="18">
        <v>0</v>
      </c>
      <c r="Z174" s="14">
        <v>0</v>
      </c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</row>
    <row r="175" spans="1:44">
      <c r="A175" s="3" t="s">
        <v>44</v>
      </c>
      <c r="B175" s="3" t="s">
        <v>59</v>
      </c>
      <c r="C175" s="4" t="s">
        <v>49</v>
      </c>
      <c r="D175" s="5" t="s">
        <v>50</v>
      </c>
      <c r="E175" s="29">
        <v>2</v>
      </c>
      <c r="F175" s="10">
        <v>2.717</v>
      </c>
      <c r="G175" s="10">
        <v>0.608</v>
      </c>
      <c r="H175" s="10">
        <v>4.46875</v>
      </c>
      <c r="I175" s="10">
        <v>-75.1740148734789</v>
      </c>
      <c r="J175" s="10">
        <v>8.24348609233147</v>
      </c>
      <c r="K175" s="14">
        <v>0.965520571759706</v>
      </c>
      <c r="L175" s="14">
        <v>0.965520571759706</v>
      </c>
      <c r="M175" s="10">
        <v>7.50909125475285</v>
      </c>
      <c r="N175" s="10">
        <v>9.665</v>
      </c>
      <c r="O175" s="14">
        <v>0.953105196451204</v>
      </c>
      <c r="P175" s="18">
        <v>26</v>
      </c>
      <c r="Q175" s="18">
        <v>26</v>
      </c>
      <c r="R175" s="18">
        <v>0</v>
      </c>
      <c r="S175" s="14">
        <v>0</v>
      </c>
      <c r="T175" s="10">
        <v>4.63442705570292</v>
      </c>
      <c r="U175" s="10">
        <v>5.669</v>
      </c>
      <c r="V175" s="14">
        <v>0.996021220159151</v>
      </c>
      <c r="W175" s="18">
        <v>25</v>
      </c>
      <c r="X175" s="18">
        <v>25</v>
      </c>
      <c r="Y175" s="18">
        <v>0</v>
      </c>
      <c r="Z175" s="14">
        <v>0</v>
      </c>
      <c r="AA175" s="10">
        <v>-75.3418265895954</v>
      </c>
      <c r="AB175" s="10">
        <v>8.01904046242775</v>
      </c>
      <c r="AC175" s="14">
        <v>0.994219653179191</v>
      </c>
      <c r="AD175" s="14">
        <v>0.994219653179191</v>
      </c>
      <c r="AE175" s="10">
        <v>7.40836842105263</v>
      </c>
      <c r="AF175" s="10">
        <v>9.23</v>
      </c>
      <c r="AG175" s="14">
        <v>1</v>
      </c>
      <c r="AH175" s="18">
        <v>26</v>
      </c>
      <c r="AI175" s="18">
        <v>26</v>
      </c>
      <c r="AJ175" s="18">
        <v>0</v>
      </c>
      <c r="AK175" s="14">
        <v>0</v>
      </c>
      <c r="AL175" s="10">
        <v>4.67788888888889</v>
      </c>
      <c r="AM175" s="10">
        <v>5.118</v>
      </c>
      <c r="AN175" s="14">
        <v>1</v>
      </c>
      <c r="AO175" s="18">
        <v>25</v>
      </c>
      <c r="AP175" s="18">
        <v>25</v>
      </c>
      <c r="AQ175" s="18">
        <v>0</v>
      </c>
      <c r="AR175" s="14">
        <v>0</v>
      </c>
    </row>
    <row r="176" spans="1:44">
      <c r="A176" s="3" t="s">
        <v>51</v>
      </c>
      <c r="B176" s="4" t="s">
        <v>58</v>
      </c>
      <c r="C176" s="5" t="s">
        <v>46</v>
      </c>
      <c r="D176" s="6" t="s">
        <v>53</v>
      </c>
      <c r="E176" s="30">
        <v>1</v>
      </c>
      <c r="F176" s="11" t="s">
        <v>54</v>
      </c>
      <c r="G176" s="11">
        <v>0.393975</v>
      </c>
      <c r="H176" s="11" t="s">
        <v>54</v>
      </c>
      <c r="I176" s="11">
        <v>-74.759759595352</v>
      </c>
      <c r="J176" s="11">
        <v>16.5716656102356</v>
      </c>
      <c r="K176" s="15">
        <v>1</v>
      </c>
      <c r="L176" s="15">
        <v>1</v>
      </c>
      <c r="M176" s="11">
        <v>5.32308187333333</v>
      </c>
      <c r="N176" s="11">
        <v>6.6862</v>
      </c>
      <c r="O176" s="15">
        <v>0.93</v>
      </c>
      <c r="P176" s="19">
        <v>10</v>
      </c>
      <c r="Q176" s="19">
        <v>10</v>
      </c>
      <c r="R176" s="19">
        <v>0</v>
      </c>
      <c r="S176" s="15">
        <v>0</v>
      </c>
      <c r="T176" s="11">
        <v>1.12103767333333</v>
      </c>
      <c r="U176" s="11">
        <v>2.90616</v>
      </c>
      <c r="V176" s="15">
        <v>0.673333333333333</v>
      </c>
      <c r="W176" s="19">
        <v>10</v>
      </c>
      <c r="X176" s="19">
        <v>10</v>
      </c>
      <c r="Y176" s="19">
        <v>0</v>
      </c>
      <c r="Z176" s="15">
        <v>0</v>
      </c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</row>
    <row r="177" spans="1:44">
      <c r="A177" s="3" t="s">
        <v>44</v>
      </c>
      <c r="B177" s="3" t="s">
        <v>56</v>
      </c>
      <c r="C177" s="4" t="s">
        <v>49</v>
      </c>
      <c r="D177" s="5" t="s">
        <v>61</v>
      </c>
      <c r="E177" s="29">
        <v>3</v>
      </c>
      <c r="F177" s="10">
        <v>2.862</v>
      </c>
      <c r="G177" s="10">
        <v>0.653</v>
      </c>
      <c r="H177" s="10">
        <v>4.38284839203675</v>
      </c>
      <c r="I177" s="10">
        <v>-74.6549956653663</v>
      </c>
      <c r="J177" s="10">
        <v>9.05040572171651</v>
      </c>
      <c r="K177" s="14">
        <v>0.977459904638058</v>
      </c>
      <c r="L177" s="14">
        <v>0.977459904638058</v>
      </c>
      <c r="M177" s="10">
        <v>8.40743219264892</v>
      </c>
      <c r="N177" s="10">
        <v>9.838</v>
      </c>
      <c r="O177" s="14">
        <v>0.996197718631179</v>
      </c>
      <c r="P177" s="18">
        <v>26</v>
      </c>
      <c r="Q177" s="18">
        <v>26</v>
      </c>
      <c r="R177" s="18">
        <v>0</v>
      </c>
      <c r="S177" s="14">
        <v>0</v>
      </c>
      <c r="T177" s="10">
        <v>4.66130476190476</v>
      </c>
      <c r="U177" s="10">
        <v>5.762</v>
      </c>
      <c r="V177" s="14">
        <v>0.978571428571428</v>
      </c>
      <c r="W177" s="18">
        <v>28</v>
      </c>
      <c r="X177" s="18">
        <v>28</v>
      </c>
      <c r="Y177" s="18">
        <v>0</v>
      </c>
      <c r="Z177" s="14">
        <v>0</v>
      </c>
      <c r="AA177" s="10">
        <v>-74.1196111111111</v>
      </c>
      <c r="AB177" s="10">
        <v>9.39486666666667</v>
      </c>
      <c r="AC177" s="14">
        <v>0.994444444444444</v>
      </c>
      <c r="AD177" s="14">
        <v>0.994444444444444</v>
      </c>
      <c r="AE177" s="10">
        <v>8.47190789473684</v>
      </c>
      <c r="AF177" s="10">
        <v>9.731</v>
      </c>
      <c r="AG177" s="14">
        <v>1</v>
      </c>
      <c r="AH177" s="18">
        <v>26</v>
      </c>
      <c r="AI177" s="18">
        <v>26</v>
      </c>
      <c r="AJ177" s="18">
        <v>0</v>
      </c>
      <c r="AK177" s="14">
        <v>0</v>
      </c>
      <c r="AL177" s="10">
        <v>4.68730303030303</v>
      </c>
      <c r="AM177" s="10">
        <v>5.3190002</v>
      </c>
      <c r="AN177" s="14">
        <v>1</v>
      </c>
      <c r="AO177" s="18">
        <v>28</v>
      </c>
      <c r="AP177" s="18">
        <v>28</v>
      </c>
      <c r="AQ177" s="18">
        <v>0</v>
      </c>
      <c r="AR177" s="14">
        <v>0</v>
      </c>
    </row>
    <row r="178" spans="1:44">
      <c r="A178" s="3" t="s">
        <v>44</v>
      </c>
      <c r="B178" s="3" t="s">
        <v>48</v>
      </c>
      <c r="C178" s="4" t="s">
        <v>46</v>
      </c>
      <c r="D178" s="5" t="s">
        <v>53</v>
      </c>
      <c r="E178" s="29">
        <v>1</v>
      </c>
      <c r="F178" s="10"/>
      <c r="G178" s="10">
        <v>0.239</v>
      </c>
      <c r="H178" s="10"/>
      <c r="I178" s="10">
        <v>-74.6391423255814</v>
      </c>
      <c r="J178" s="10">
        <v>16.4891969767442</v>
      </c>
      <c r="K178" s="14">
        <v>1</v>
      </c>
      <c r="L178" s="14">
        <v>1</v>
      </c>
      <c r="M178" s="10">
        <v>8.22104575163399</v>
      </c>
      <c r="N178" s="10">
        <v>8.663</v>
      </c>
      <c r="O178" s="14">
        <v>0.996732026143791</v>
      </c>
      <c r="P178" s="18">
        <v>10</v>
      </c>
      <c r="Q178" s="18">
        <v>10</v>
      </c>
      <c r="R178" s="18">
        <v>0</v>
      </c>
      <c r="S178" s="14">
        <v>0</v>
      </c>
      <c r="T178" s="10">
        <v>5.05498666666667</v>
      </c>
      <c r="U178" s="10">
        <v>5.945</v>
      </c>
      <c r="V178" s="14">
        <v>1</v>
      </c>
      <c r="W178" s="18">
        <v>10</v>
      </c>
      <c r="X178" s="18">
        <v>10</v>
      </c>
      <c r="Y178" s="18">
        <v>0</v>
      </c>
      <c r="Z178" s="14">
        <v>0</v>
      </c>
      <c r="AA178" s="10"/>
      <c r="AB178" s="10"/>
      <c r="AC178" s="14"/>
      <c r="AD178" s="14"/>
      <c r="AE178" s="10"/>
      <c r="AF178" s="10"/>
      <c r="AG178" s="14"/>
      <c r="AH178" s="18"/>
      <c r="AI178" s="18"/>
      <c r="AJ178" s="18"/>
      <c r="AK178" s="14"/>
      <c r="AL178" s="10"/>
      <c r="AM178" s="10"/>
      <c r="AN178" s="14"/>
      <c r="AO178" s="18"/>
      <c r="AP178" s="18"/>
      <c r="AQ178" s="18"/>
      <c r="AR178" s="14"/>
    </row>
    <row r="179" spans="1:44">
      <c r="A179" s="3" t="s">
        <v>44</v>
      </c>
      <c r="B179" s="3" t="s">
        <v>45</v>
      </c>
      <c r="C179" s="8" t="s">
        <v>49</v>
      </c>
      <c r="D179" s="8" t="s">
        <v>64</v>
      </c>
      <c r="E179" s="30">
        <v>1</v>
      </c>
      <c r="F179" s="10">
        <v>377.498</v>
      </c>
      <c r="G179" s="10">
        <v>7.395</v>
      </c>
      <c r="H179" s="10">
        <v>51.0477349560514</v>
      </c>
      <c r="I179" s="10">
        <v>-74.5559606594115</v>
      </c>
      <c r="J179" s="10">
        <v>8.38453798983868</v>
      </c>
      <c r="K179" s="14">
        <v>0.936146372162274</v>
      </c>
      <c r="L179" s="14">
        <v>0.937635266849837</v>
      </c>
      <c r="M179" s="10">
        <v>6.19119418505942</v>
      </c>
      <c r="N179" s="10">
        <v>8.183</v>
      </c>
      <c r="O179" s="14">
        <v>0.959040747028862</v>
      </c>
      <c r="P179" s="18">
        <v>309</v>
      </c>
      <c r="Q179" s="18">
        <v>309</v>
      </c>
      <c r="R179" s="18">
        <v>0</v>
      </c>
      <c r="S179" s="14">
        <v>0</v>
      </c>
      <c r="T179" s="10">
        <v>3.74026631544995</v>
      </c>
      <c r="U179" s="10">
        <v>5.54</v>
      </c>
      <c r="V179" s="14">
        <v>0.944522094398452</v>
      </c>
      <c r="W179" s="18">
        <v>309</v>
      </c>
      <c r="X179" s="18">
        <v>309</v>
      </c>
      <c r="Y179" s="18">
        <v>0</v>
      </c>
      <c r="Z179" s="14">
        <v>0</v>
      </c>
      <c r="AA179" s="10">
        <v>-74.7929342468608</v>
      </c>
      <c r="AB179" s="10">
        <v>8.38945448861564</v>
      </c>
      <c r="AC179" s="14">
        <v>0.945084145261293</v>
      </c>
      <c r="AD179" s="14">
        <v>0.946021987182827</v>
      </c>
      <c r="AE179" s="10">
        <v>6.26977649643053</v>
      </c>
      <c r="AF179" s="10">
        <v>8.486</v>
      </c>
      <c r="AG179" s="14">
        <v>0.964122277137104</v>
      </c>
      <c r="AH179" s="18">
        <v>309</v>
      </c>
      <c r="AI179" s="18">
        <v>309</v>
      </c>
      <c r="AJ179" s="18">
        <v>0</v>
      </c>
      <c r="AK179" s="14">
        <v>0</v>
      </c>
      <c r="AL179" s="10">
        <v>3.7456304619226</v>
      </c>
      <c r="AM179" s="10">
        <v>5.42</v>
      </c>
      <c r="AN179" s="14">
        <v>0.960049937578027</v>
      </c>
      <c r="AO179" s="18">
        <v>309</v>
      </c>
      <c r="AP179" s="18">
        <v>309</v>
      </c>
      <c r="AQ179" s="18">
        <v>0</v>
      </c>
      <c r="AR179" s="14">
        <v>0</v>
      </c>
    </row>
    <row r="180" spans="1:44">
      <c r="A180" s="3" t="s">
        <v>51</v>
      </c>
      <c r="B180" s="5" t="s">
        <v>63</v>
      </c>
      <c r="C180" s="6" t="s">
        <v>49</v>
      </c>
      <c r="D180" s="6" t="s">
        <v>61</v>
      </c>
      <c r="E180" s="31">
        <v>3</v>
      </c>
      <c r="F180" s="11">
        <v>2.03014532768726</v>
      </c>
      <c r="G180" s="11">
        <v>0.497863888888889</v>
      </c>
      <c r="H180" s="11">
        <v>4.07771154525397</v>
      </c>
      <c r="I180" s="11">
        <v>-74.2855972192402</v>
      </c>
      <c r="J180" s="11">
        <v>15.5350811333203</v>
      </c>
      <c r="K180" s="15">
        <v>0.99236641221374</v>
      </c>
      <c r="L180" s="15">
        <v>0.99236641221374</v>
      </c>
      <c r="M180" s="11">
        <v>8.66596254761905</v>
      </c>
      <c r="N180" s="11">
        <v>10.0014</v>
      </c>
      <c r="O180" s="15">
        <v>1</v>
      </c>
      <c r="P180" s="19">
        <v>14</v>
      </c>
      <c r="Q180" s="19">
        <v>14</v>
      </c>
      <c r="R180" s="19">
        <v>0</v>
      </c>
      <c r="S180" s="15">
        <v>0</v>
      </c>
      <c r="T180" s="11">
        <v>4.43923098717949</v>
      </c>
      <c r="U180" s="11">
        <v>5.77154</v>
      </c>
      <c r="V180" s="15">
        <v>0.984615384615385</v>
      </c>
      <c r="W180" s="19">
        <v>13</v>
      </c>
      <c r="X180" s="19">
        <v>13</v>
      </c>
      <c r="Y180" s="19">
        <v>0</v>
      </c>
      <c r="Z180" s="15">
        <v>0</v>
      </c>
      <c r="AA180" s="11">
        <v>-74.4714432879621</v>
      </c>
      <c r="AB180" s="11">
        <v>15.3770139012277</v>
      </c>
      <c r="AC180" s="15">
        <v>1</v>
      </c>
      <c r="AD180" s="15">
        <v>1</v>
      </c>
      <c r="AE180" s="11">
        <v>8.79191559911465</v>
      </c>
      <c r="AF180" s="11">
        <v>9.61467855555555</v>
      </c>
      <c r="AG180" s="15">
        <v>1</v>
      </c>
      <c r="AH180" s="19">
        <v>14</v>
      </c>
      <c r="AI180" s="19">
        <v>14</v>
      </c>
      <c r="AJ180" s="19">
        <v>0</v>
      </c>
      <c r="AK180" s="15">
        <v>0</v>
      </c>
      <c r="AL180" s="11">
        <v>4.40994335395106</v>
      </c>
      <c r="AM180" s="11">
        <v>4.90691033333333</v>
      </c>
      <c r="AN180" s="15">
        <v>1</v>
      </c>
      <c r="AO180" s="19">
        <v>13</v>
      </c>
      <c r="AP180" s="19">
        <v>13</v>
      </c>
      <c r="AQ180" s="19">
        <v>0</v>
      </c>
      <c r="AR180" s="15">
        <v>0</v>
      </c>
    </row>
    <row r="181" spans="1:44">
      <c r="A181" s="3" t="s">
        <v>44</v>
      </c>
      <c r="B181" s="3" t="s">
        <v>48</v>
      </c>
      <c r="C181" s="4" t="s">
        <v>49</v>
      </c>
      <c r="D181" s="5" t="s">
        <v>50</v>
      </c>
      <c r="E181" s="29">
        <v>2</v>
      </c>
      <c r="F181" s="10">
        <v>3.658</v>
      </c>
      <c r="G181" s="10">
        <v>1.004</v>
      </c>
      <c r="H181" s="10">
        <v>3.64342629482072</v>
      </c>
      <c r="I181" s="10">
        <v>-74.2676734483941</v>
      </c>
      <c r="J181" s="10">
        <v>8.64930546348154</v>
      </c>
      <c r="K181" s="14">
        <v>0.978626128700423</v>
      </c>
      <c r="L181" s="14">
        <v>0.978626128700423</v>
      </c>
      <c r="M181" s="10">
        <v>8.95115954198473</v>
      </c>
      <c r="N181" s="10">
        <v>10.042</v>
      </c>
      <c r="O181" s="14">
        <v>0.99618320610687</v>
      </c>
      <c r="P181" s="18">
        <v>43</v>
      </c>
      <c r="Q181" s="18">
        <v>43</v>
      </c>
      <c r="R181" s="18">
        <v>0</v>
      </c>
      <c r="S181" s="14">
        <v>0</v>
      </c>
      <c r="T181" s="10">
        <v>4.9068626984127</v>
      </c>
      <c r="U181" s="10">
        <v>5.813</v>
      </c>
      <c r="V181" s="14">
        <v>0.999206349206349</v>
      </c>
      <c r="W181" s="18">
        <v>42</v>
      </c>
      <c r="X181" s="18">
        <v>42</v>
      </c>
      <c r="Y181" s="18">
        <v>0</v>
      </c>
      <c r="Z181" s="14">
        <v>0</v>
      </c>
      <c r="AA181" s="10">
        <v>-75.7775914893617</v>
      </c>
      <c r="AB181" s="10">
        <v>7.68577872340425</v>
      </c>
      <c r="AC181" s="14">
        <v>0.987234042553192</v>
      </c>
      <c r="AD181" s="14">
        <v>0.987234042553192</v>
      </c>
      <c r="AE181" s="10">
        <v>8.80702173913043</v>
      </c>
      <c r="AF181" s="10">
        <v>9.79</v>
      </c>
      <c r="AG181" s="14">
        <v>1</v>
      </c>
      <c r="AH181" s="18">
        <v>43</v>
      </c>
      <c r="AI181" s="18">
        <v>43</v>
      </c>
      <c r="AJ181" s="18">
        <v>0</v>
      </c>
      <c r="AK181" s="14">
        <v>0</v>
      </c>
      <c r="AL181" s="10">
        <v>4.87763736263736</v>
      </c>
      <c r="AM181" s="10">
        <v>5.18</v>
      </c>
      <c r="AN181" s="14">
        <v>1</v>
      </c>
      <c r="AO181" s="18">
        <v>42</v>
      </c>
      <c r="AP181" s="18">
        <v>42</v>
      </c>
      <c r="AQ181" s="18">
        <v>0</v>
      </c>
      <c r="AR181" s="14">
        <v>0</v>
      </c>
    </row>
    <row r="182" spans="1:44">
      <c r="A182" s="3" t="s">
        <v>44</v>
      </c>
      <c r="B182" s="7" t="s">
        <v>60</v>
      </c>
      <c r="C182" s="4" t="s">
        <v>46</v>
      </c>
      <c r="D182" s="5" t="s">
        <v>53</v>
      </c>
      <c r="E182" s="29">
        <v>2</v>
      </c>
      <c r="F182" s="10"/>
      <c r="G182" s="10">
        <v>0.246</v>
      </c>
      <c r="H182" s="10"/>
      <c r="I182" s="10">
        <v>-74.2455641259699</v>
      </c>
      <c r="J182" s="10">
        <v>15.0405403925148</v>
      </c>
      <c r="K182" s="14">
        <v>1</v>
      </c>
      <c r="L182" s="14">
        <v>1</v>
      </c>
      <c r="M182" s="10">
        <v>9.26501650165017</v>
      </c>
      <c r="N182" s="10">
        <v>9.91</v>
      </c>
      <c r="O182" s="14">
        <v>1</v>
      </c>
      <c r="P182" s="18">
        <v>10</v>
      </c>
      <c r="Q182" s="18">
        <v>10</v>
      </c>
      <c r="R182" s="18">
        <v>0</v>
      </c>
      <c r="S182" s="14">
        <v>0</v>
      </c>
      <c r="T182" s="10">
        <v>4.92304333333333</v>
      </c>
      <c r="U182" s="10">
        <v>5.889</v>
      </c>
      <c r="V182" s="14">
        <v>1</v>
      </c>
      <c r="W182" s="18">
        <v>10</v>
      </c>
      <c r="X182" s="18">
        <v>10</v>
      </c>
      <c r="Y182" s="18">
        <v>0</v>
      </c>
      <c r="Z182" s="14">
        <v>0</v>
      </c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</row>
    <row r="183" spans="1:44">
      <c r="A183" s="3" t="s">
        <v>51</v>
      </c>
      <c r="B183" s="4" t="s">
        <v>58</v>
      </c>
      <c r="C183" s="5" t="s">
        <v>46</v>
      </c>
      <c r="D183" s="6" t="s">
        <v>47</v>
      </c>
      <c r="E183" s="30">
        <v>2</v>
      </c>
      <c r="F183" s="11" t="s">
        <v>54</v>
      </c>
      <c r="G183" s="11">
        <v>0.397508333333333</v>
      </c>
      <c r="H183" s="11" t="s">
        <v>54</v>
      </c>
      <c r="I183" s="11">
        <v>-74.1703729156345</v>
      </c>
      <c r="J183" s="11">
        <v>16.9335558807992</v>
      </c>
      <c r="K183" s="15">
        <v>1</v>
      </c>
      <c r="L183" s="15">
        <v>1</v>
      </c>
      <c r="M183" s="11">
        <v>7.73256254</v>
      </c>
      <c r="N183" s="11">
        <v>8.28512</v>
      </c>
      <c r="O183" s="15">
        <v>0.996666666666667</v>
      </c>
      <c r="P183" s="19">
        <v>10</v>
      </c>
      <c r="Q183" s="19">
        <v>10</v>
      </c>
      <c r="R183" s="19">
        <v>0</v>
      </c>
      <c r="S183" s="15">
        <v>0</v>
      </c>
      <c r="T183" s="11">
        <v>5.20990496655518</v>
      </c>
      <c r="U183" s="11">
        <v>7.04705</v>
      </c>
      <c r="V183" s="15">
        <v>1</v>
      </c>
      <c r="W183" s="19">
        <v>10</v>
      </c>
      <c r="X183" s="19">
        <v>10</v>
      </c>
      <c r="Y183" s="19">
        <v>0</v>
      </c>
      <c r="Z183" s="15">
        <v>0</v>
      </c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</row>
    <row r="184" spans="1:44">
      <c r="A184" s="3" t="s">
        <v>44</v>
      </c>
      <c r="B184" s="3" t="s">
        <v>56</v>
      </c>
      <c r="C184" s="4" t="s">
        <v>49</v>
      </c>
      <c r="D184" s="5" t="s">
        <v>50</v>
      </c>
      <c r="E184" s="29">
        <v>2</v>
      </c>
      <c r="F184" s="10">
        <v>5.621</v>
      </c>
      <c r="G184" s="10">
        <v>0.584</v>
      </c>
      <c r="H184" s="10">
        <v>9.625</v>
      </c>
      <c r="I184" s="10">
        <v>-73.979640382551</v>
      </c>
      <c r="J184" s="10">
        <v>10.1208790865619</v>
      </c>
      <c r="K184" s="14">
        <v>0.960183468332195</v>
      </c>
      <c r="L184" s="14">
        <v>0.960183468332195</v>
      </c>
      <c r="M184" s="10">
        <v>8.76384584980237</v>
      </c>
      <c r="N184" s="10">
        <v>9.929</v>
      </c>
      <c r="O184" s="14">
        <v>0.997364953886693</v>
      </c>
      <c r="P184" s="18">
        <v>25</v>
      </c>
      <c r="Q184" s="18">
        <v>25</v>
      </c>
      <c r="R184" s="18">
        <v>0</v>
      </c>
      <c r="S184" s="14">
        <v>0</v>
      </c>
      <c r="T184" s="10">
        <v>4.60595138888889</v>
      </c>
      <c r="U184" s="10">
        <v>5.388</v>
      </c>
      <c r="V184" s="14">
        <v>0.958333333333333</v>
      </c>
      <c r="W184" s="18">
        <v>24</v>
      </c>
      <c r="X184" s="18">
        <v>24</v>
      </c>
      <c r="Y184" s="18">
        <v>0</v>
      </c>
      <c r="Z184" s="14">
        <v>0</v>
      </c>
      <c r="AA184" s="10">
        <v>-74.6708140243902</v>
      </c>
      <c r="AB184" s="10">
        <v>9.38389024390244</v>
      </c>
      <c r="AC184" s="14">
        <v>0.984756097560976</v>
      </c>
      <c r="AD184" s="14">
        <v>0.984756097560976</v>
      </c>
      <c r="AE184" s="10">
        <v>8.69266101694915</v>
      </c>
      <c r="AF184" s="10">
        <v>9.834</v>
      </c>
      <c r="AG184" s="14">
        <v>1</v>
      </c>
      <c r="AH184" s="18">
        <v>25</v>
      </c>
      <c r="AI184" s="18">
        <v>25</v>
      </c>
      <c r="AJ184" s="18">
        <v>0</v>
      </c>
      <c r="AK184" s="14">
        <v>0</v>
      </c>
      <c r="AL184" s="10">
        <v>4.5026347826087</v>
      </c>
      <c r="AM184" s="10">
        <v>5.025</v>
      </c>
      <c r="AN184" s="14">
        <v>0.947826086956522</v>
      </c>
      <c r="AO184" s="18">
        <v>24</v>
      </c>
      <c r="AP184" s="18">
        <v>24</v>
      </c>
      <c r="AQ184" s="18">
        <v>0</v>
      </c>
      <c r="AR184" s="14">
        <v>0</v>
      </c>
    </row>
    <row r="185" spans="1:44">
      <c r="A185" s="3" t="s">
        <v>44</v>
      </c>
      <c r="B185" s="7" t="s">
        <v>60</v>
      </c>
      <c r="C185" s="4" t="s">
        <v>46</v>
      </c>
      <c r="D185" s="5" t="s">
        <v>53</v>
      </c>
      <c r="E185" s="29">
        <v>1</v>
      </c>
      <c r="F185" s="10"/>
      <c r="G185" s="10">
        <v>0.247</v>
      </c>
      <c r="H185" s="10"/>
      <c r="I185" s="10">
        <v>-73.9602112644198</v>
      </c>
      <c r="J185" s="10">
        <v>14.4048973083013</v>
      </c>
      <c r="K185" s="14">
        <v>1</v>
      </c>
      <c r="L185" s="14">
        <v>1</v>
      </c>
      <c r="M185" s="10">
        <v>9.1617003257329</v>
      </c>
      <c r="N185" s="10">
        <v>9.852</v>
      </c>
      <c r="O185" s="14">
        <v>0.993485342019544</v>
      </c>
      <c r="P185" s="18">
        <v>10</v>
      </c>
      <c r="Q185" s="18">
        <v>10</v>
      </c>
      <c r="R185" s="18">
        <v>0</v>
      </c>
      <c r="S185" s="14">
        <v>0</v>
      </c>
      <c r="T185" s="10">
        <v>5.02826333333333</v>
      </c>
      <c r="U185" s="10">
        <v>6.046</v>
      </c>
      <c r="V185" s="14">
        <v>1</v>
      </c>
      <c r="W185" s="18">
        <v>10</v>
      </c>
      <c r="X185" s="18">
        <v>10</v>
      </c>
      <c r="Y185" s="18">
        <v>0</v>
      </c>
      <c r="Z185" s="14">
        <v>0</v>
      </c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</row>
    <row r="186" spans="1:44">
      <c r="A186" s="3" t="s">
        <v>44</v>
      </c>
      <c r="B186" s="3" t="s">
        <v>48</v>
      </c>
      <c r="C186" s="8" t="s">
        <v>49</v>
      </c>
      <c r="D186" s="8" t="s">
        <v>64</v>
      </c>
      <c r="E186" s="29">
        <v>1</v>
      </c>
      <c r="F186" s="10">
        <v>215.446</v>
      </c>
      <c r="G186" s="10">
        <v>6.28</v>
      </c>
      <c r="H186" s="10">
        <v>34.3066878980892</v>
      </c>
      <c r="I186" s="10">
        <v>-73.893665062654</v>
      </c>
      <c r="J186" s="10">
        <v>9.72213767923291</v>
      </c>
      <c r="K186" s="14">
        <v>0.965757430743872</v>
      </c>
      <c r="L186" s="14">
        <v>0.966165080377874</v>
      </c>
      <c r="M186" s="10">
        <v>7.26708553443594</v>
      </c>
      <c r="N186" s="10">
        <v>8.633</v>
      </c>
      <c r="O186" s="14">
        <v>0.986916810664034</v>
      </c>
      <c r="P186" s="18">
        <v>266</v>
      </c>
      <c r="Q186" s="18">
        <v>266</v>
      </c>
      <c r="R186" s="18">
        <v>0</v>
      </c>
      <c r="S186" s="14">
        <v>0</v>
      </c>
      <c r="T186" s="10">
        <v>3.92821168341709</v>
      </c>
      <c r="U186" s="10">
        <v>5.553</v>
      </c>
      <c r="V186" s="14">
        <v>0.970979899497487</v>
      </c>
      <c r="W186" s="18">
        <v>265</v>
      </c>
      <c r="X186" s="18">
        <v>265</v>
      </c>
      <c r="Y186" s="18">
        <v>0</v>
      </c>
      <c r="Z186" s="14">
        <v>0</v>
      </c>
      <c r="AA186" s="10">
        <v>-74.4350467246484</v>
      </c>
      <c r="AB186" s="10">
        <v>8.79197733160622</v>
      </c>
      <c r="AC186" s="14">
        <v>0.967246484085862</v>
      </c>
      <c r="AD186" s="14">
        <v>0.968079200592154</v>
      </c>
      <c r="AE186" s="10">
        <v>7.12703160746538</v>
      </c>
      <c r="AF186" s="10">
        <v>8.536</v>
      </c>
      <c r="AG186" s="14">
        <v>0.99157134256472</v>
      </c>
      <c r="AH186" s="18">
        <v>266</v>
      </c>
      <c r="AI186" s="18">
        <v>266</v>
      </c>
      <c r="AJ186" s="18">
        <v>0</v>
      </c>
      <c r="AK186" s="14">
        <v>0</v>
      </c>
      <c r="AL186" s="10">
        <v>3.87102173913043</v>
      </c>
      <c r="AM186" s="10">
        <v>5.331</v>
      </c>
      <c r="AN186" s="14">
        <v>0.983548766157462</v>
      </c>
      <c r="AO186" s="18">
        <v>265</v>
      </c>
      <c r="AP186" s="18">
        <v>265</v>
      </c>
      <c r="AQ186" s="18">
        <v>0</v>
      </c>
      <c r="AR186" s="14">
        <v>0</v>
      </c>
    </row>
    <row r="187" spans="1:44">
      <c r="A187" s="3" t="s">
        <v>44</v>
      </c>
      <c r="B187" s="3" t="s">
        <v>56</v>
      </c>
      <c r="C187" s="4" t="s">
        <v>49</v>
      </c>
      <c r="D187" s="5" t="s">
        <v>50</v>
      </c>
      <c r="E187" s="29">
        <v>1</v>
      </c>
      <c r="F187" s="10">
        <v>5.621</v>
      </c>
      <c r="G187" s="10">
        <v>0.584</v>
      </c>
      <c r="H187" s="10">
        <v>9.625</v>
      </c>
      <c r="I187" s="10">
        <v>-73.7659968786578</v>
      </c>
      <c r="J187" s="10">
        <v>9.8025994927819</v>
      </c>
      <c r="K187" s="14">
        <v>0.941767460007803</v>
      </c>
      <c r="L187" s="14">
        <v>0.941865001950839</v>
      </c>
      <c r="M187" s="10">
        <v>5.87625229960578</v>
      </c>
      <c r="N187" s="10">
        <v>8.029</v>
      </c>
      <c r="O187" s="14">
        <v>0.892247043363995</v>
      </c>
      <c r="P187" s="18">
        <v>25</v>
      </c>
      <c r="Q187" s="18">
        <v>25</v>
      </c>
      <c r="R187" s="18">
        <v>0</v>
      </c>
      <c r="S187" s="14">
        <v>0</v>
      </c>
      <c r="T187" s="10">
        <v>3.54044459833795</v>
      </c>
      <c r="U187" s="10">
        <v>5.542</v>
      </c>
      <c r="V187" s="14">
        <v>0.880886426592798</v>
      </c>
      <c r="W187" s="18">
        <v>24</v>
      </c>
      <c r="X187" s="18">
        <v>24</v>
      </c>
      <c r="Y187" s="18">
        <v>0</v>
      </c>
      <c r="Z187" s="14">
        <v>0</v>
      </c>
      <c r="AA187" s="10">
        <v>-75.639868902439</v>
      </c>
      <c r="AB187" s="10">
        <v>8.52544207317073</v>
      </c>
      <c r="AC187" s="14">
        <v>0.954268292682927</v>
      </c>
      <c r="AD187" s="14">
        <v>0.954268292682927</v>
      </c>
      <c r="AE187" s="10">
        <v>5.7635</v>
      </c>
      <c r="AF187" s="10">
        <v>7.671</v>
      </c>
      <c r="AG187" s="14">
        <v>0.941666666666667</v>
      </c>
      <c r="AH187" s="18">
        <v>25</v>
      </c>
      <c r="AI187" s="18">
        <v>25</v>
      </c>
      <c r="AJ187" s="18">
        <v>0</v>
      </c>
      <c r="AK187" s="14">
        <v>0</v>
      </c>
      <c r="AL187" s="10">
        <v>3.61679130434783</v>
      </c>
      <c r="AM187" s="10">
        <v>5.14</v>
      </c>
      <c r="AN187" s="14">
        <v>0.991304347826087</v>
      </c>
      <c r="AO187" s="18">
        <v>24</v>
      </c>
      <c r="AP187" s="18">
        <v>24</v>
      </c>
      <c r="AQ187" s="18">
        <v>0</v>
      </c>
      <c r="AR187" s="14">
        <v>0</v>
      </c>
    </row>
    <row r="188" spans="1:44">
      <c r="A188" s="3" t="s">
        <v>51</v>
      </c>
      <c r="B188" s="4" t="s">
        <v>58</v>
      </c>
      <c r="C188" s="5" t="s">
        <v>46</v>
      </c>
      <c r="D188" s="6" t="s">
        <v>47</v>
      </c>
      <c r="E188" s="30">
        <v>1</v>
      </c>
      <c r="F188" s="11" t="s">
        <v>54</v>
      </c>
      <c r="G188" s="11">
        <v>0.39785</v>
      </c>
      <c r="H188" s="11" t="s">
        <v>54</v>
      </c>
      <c r="I188" s="11">
        <v>-73.7519512477492</v>
      </c>
      <c r="J188" s="11">
        <v>10.0037525972996</v>
      </c>
      <c r="K188" s="15">
        <v>1</v>
      </c>
      <c r="L188" s="15">
        <v>1</v>
      </c>
      <c r="M188" s="11">
        <v>7.83277104</v>
      </c>
      <c r="N188" s="11">
        <v>8.34624</v>
      </c>
      <c r="O188" s="15">
        <v>1</v>
      </c>
      <c r="P188" s="19">
        <v>10</v>
      </c>
      <c r="Q188" s="19">
        <v>10</v>
      </c>
      <c r="R188" s="19">
        <v>0</v>
      </c>
      <c r="S188" s="15">
        <v>0</v>
      </c>
      <c r="T188" s="11">
        <v>4.67331361333333</v>
      </c>
      <c r="U188" s="11">
        <v>6.03774</v>
      </c>
      <c r="V188" s="15">
        <v>1</v>
      </c>
      <c r="W188" s="19">
        <v>10</v>
      </c>
      <c r="X188" s="19">
        <v>10</v>
      </c>
      <c r="Y188" s="19">
        <v>0</v>
      </c>
      <c r="Z188" s="15">
        <v>0</v>
      </c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</row>
    <row r="189" spans="1:44">
      <c r="A189" s="3" t="s">
        <v>44</v>
      </c>
      <c r="B189" s="3" t="s">
        <v>56</v>
      </c>
      <c r="C189" s="8" t="s">
        <v>49</v>
      </c>
      <c r="D189" s="8" t="s">
        <v>64</v>
      </c>
      <c r="E189" s="30">
        <v>1</v>
      </c>
      <c r="F189" s="10">
        <v>260.206</v>
      </c>
      <c r="G189" s="10">
        <v>5.47</v>
      </c>
      <c r="H189" s="10">
        <v>47.5696526508227</v>
      </c>
      <c r="I189" s="10">
        <v>-73.6856663746186</v>
      </c>
      <c r="J189" s="10">
        <v>9.44736550672054</v>
      </c>
      <c r="K189" s="14">
        <v>0.941318957697699</v>
      </c>
      <c r="L189" s="14">
        <v>0.942205409417003</v>
      </c>
      <c r="M189" s="10">
        <v>6.42446853555264</v>
      </c>
      <c r="N189" s="10">
        <v>8.97</v>
      </c>
      <c r="O189" s="14">
        <v>0.937801138852387</v>
      </c>
      <c r="P189" s="18">
        <v>225</v>
      </c>
      <c r="Q189" s="18">
        <v>225</v>
      </c>
      <c r="R189" s="18">
        <v>0</v>
      </c>
      <c r="S189" s="14">
        <v>0</v>
      </c>
      <c r="T189" s="10">
        <v>3.883853238265</v>
      </c>
      <c r="U189" s="10">
        <v>5.685</v>
      </c>
      <c r="V189" s="14">
        <v>0.918300653594771</v>
      </c>
      <c r="W189" s="18">
        <v>224</v>
      </c>
      <c r="X189" s="18">
        <v>224</v>
      </c>
      <c r="Y189" s="18">
        <v>0</v>
      </c>
      <c r="Z189" s="14">
        <v>0</v>
      </c>
      <c r="AA189" s="10">
        <v>-73.8243049014344</v>
      </c>
      <c r="AB189" s="10">
        <v>9.14416453171742</v>
      </c>
      <c r="AC189" s="14">
        <v>0.955971465828028</v>
      </c>
      <c r="AD189" s="14">
        <v>0.956815218225052</v>
      </c>
      <c r="AE189" s="10">
        <v>6.64761697188548</v>
      </c>
      <c r="AF189" s="10">
        <v>9.015</v>
      </c>
      <c r="AG189" s="14">
        <v>0.961052360072221</v>
      </c>
      <c r="AH189" s="18">
        <v>225</v>
      </c>
      <c r="AI189" s="18">
        <v>225</v>
      </c>
      <c r="AJ189" s="18">
        <v>0</v>
      </c>
      <c r="AK189" s="14">
        <v>0</v>
      </c>
      <c r="AL189" s="10">
        <v>3.93170657157412</v>
      </c>
      <c r="AM189" s="10">
        <v>5.568</v>
      </c>
      <c r="AN189" s="14">
        <v>0.948038716250637</v>
      </c>
      <c r="AO189" s="18">
        <v>224</v>
      </c>
      <c r="AP189" s="18">
        <v>224</v>
      </c>
      <c r="AQ189" s="18">
        <v>0</v>
      </c>
      <c r="AR189" s="14">
        <v>0</v>
      </c>
    </row>
    <row r="190" spans="1:44">
      <c r="A190" s="3" t="s">
        <v>51</v>
      </c>
      <c r="B190" s="6" t="s">
        <v>55</v>
      </c>
      <c r="C190" s="6" t="s">
        <v>49</v>
      </c>
      <c r="D190" s="6" t="s">
        <v>50</v>
      </c>
      <c r="E190" s="31">
        <v>1</v>
      </c>
      <c r="F190" s="11">
        <v>1.83681998944283</v>
      </c>
      <c r="G190" s="11">
        <v>0.400586111111111</v>
      </c>
      <c r="H190" s="11">
        <v>4.58533118971103</v>
      </c>
      <c r="I190" s="11">
        <v>-73.6520842116576</v>
      </c>
      <c r="J190" s="11">
        <v>12.9691087029465</v>
      </c>
      <c r="K190" s="15">
        <v>0.999026966916875</v>
      </c>
      <c r="L190" s="15">
        <v>0.999026966916875</v>
      </c>
      <c r="M190" s="11">
        <v>6.5738144</v>
      </c>
      <c r="N190" s="11">
        <v>9.12433</v>
      </c>
      <c r="O190" s="15">
        <v>0.99</v>
      </c>
      <c r="P190" s="19">
        <v>10</v>
      </c>
      <c r="Q190" s="19">
        <v>10</v>
      </c>
      <c r="R190" s="19">
        <v>0</v>
      </c>
      <c r="S190" s="15">
        <v>0</v>
      </c>
      <c r="T190" s="11">
        <v>3.37107228484848</v>
      </c>
      <c r="U190" s="11">
        <v>4.79232</v>
      </c>
      <c r="V190" s="15">
        <v>1</v>
      </c>
      <c r="W190" s="19">
        <v>11</v>
      </c>
      <c r="X190" s="19">
        <v>11</v>
      </c>
      <c r="Y190" s="19">
        <v>0</v>
      </c>
      <c r="Z190" s="15">
        <v>0</v>
      </c>
      <c r="AA190" s="11">
        <v>-73.4530627212583</v>
      </c>
      <c r="AB190" s="11">
        <v>12.8901044754663</v>
      </c>
      <c r="AC190" s="15">
        <v>1</v>
      </c>
      <c r="AD190" s="15">
        <v>1</v>
      </c>
      <c r="AE190" s="11">
        <v>6.52759205362574</v>
      </c>
      <c r="AF190" s="11">
        <v>8.9457357</v>
      </c>
      <c r="AG190" s="15">
        <v>1</v>
      </c>
      <c r="AH190" s="19">
        <v>10</v>
      </c>
      <c r="AI190" s="19">
        <v>10</v>
      </c>
      <c r="AJ190" s="19">
        <v>0</v>
      </c>
      <c r="AK190" s="15">
        <v>0</v>
      </c>
      <c r="AL190" s="11">
        <v>3.45179681453108</v>
      </c>
      <c r="AM190" s="11">
        <v>4.740689</v>
      </c>
      <c r="AN190" s="15">
        <v>1</v>
      </c>
      <c r="AO190" s="19">
        <v>11</v>
      </c>
      <c r="AP190" s="19">
        <v>11</v>
      </c>
      <c r="AQ190" s="19">
        <v>0</v>
      </c>
      <c r="AR190" s="15">
        <v>0</v>
      </c>
    </row>
    <row r="191" spans="1:44">
      <c r="A191" s="3" t="s">
        <v>44</v>
      </c>
      <c r="B191" s="7" t="s">
        <v>60</v>
      </c>
      <c r="C191" s="4" t="s">
        <v>49</v>
      </c>
      <c r="D191" s="5" t="s">
        <v>50</v>
      </c>
      <c r="E191" s="29">
        <v>1</v>
      </c>
      <c r="F191" s="10">
        <v>2.839</v>
      </c>
      <c r="G191" s="10">
        <v>0.593</v>
      </c>
      <c r="H191" s="10">
        <v>4.78752107925801</v>
      </c>
      <c r="I191" s="10">
        <v>-73.4823382794891</v>
      </c>
      <c r="J191" s="10">
        <v>9.62597511269722</v>
      </c>
      <c r="K191" s="14">
        <v>0.927122464312547</v>
      </c>
      <c r="L191" s="14">
        <v>0.927122464312547</v>
      </c>
      <c r="M191" s="10">
        <v>6.65993963254593</v>
      </c>
      <c r="N191" s="10">
        <v>8.718</v>
      </c>
      <c r="O191" s="14">
        <v>0.954068241469816</v>
      </c>
      <c r="P191" s="18">
        <v>25</v>
      </c>
      <c r="Q191" s="18">
        <v>25</v>
      </c>
      <c r="R191" s="18">
        <v>0</v>
      </c>
      <c r="S191" s="14">
        <v>0</v>
      </c>
      <c r="T191" s="10">
        <v>3.21677320954907</v>
      </c>
      <c r="U191" s="10">
        <v>5.647</v>
      </c>
      <c r="V191" s="14">
        <v>0.795755968169761</v>
      </c>
      <c r="W191" s="18">
        <v>25</v>
      </c>
      <c r="X191" s="18">
        <v>25</v>
      </c>
      <c r="Y191" s="18">
        <v>0</v>
      </c>
      <c r="Z191" s="14">
        <v>0</v>
      </c>
      <c r="AA191" s="10">
        <v>-73.6434285714286</v>
      </c>
      <c r="AB191" s="10">
        <v>9.35148901098901</v>
      </c>
      <c r="AC191" s="14">
        <v>0.93956043956044</v>
      </c>
      <c r="AD191" s="14">
        <v>0.93956043956044</v>
      </c>
      <c r="AE191" s="10">
        <v>6.33497183098592</v>
      </c>
      <c r="AF191" s="10">
        <v>8.53</v>
      </c>
      <c r="AG191" s="14">
        <v>0.957746478873239</v>
      </c>
      <c r="AH191" s="18">
        <v>25</v>
      </c>
      <c r="AI191" s="18">
        <v>25</v>
      </c>
      <c r="AJ191" s="18">
        <v>0</v>
      </c>
      <c r="AK191" s="14">
        <v>0</v>
      </c>
      <c r="AL191" s="10">
        <v>3.34117647058823</v>
      </c>
      <c r="AM191" s="10">
        <v>5.216</v>
      </c>
      <c r="AN191" s="14">
        <v>1</v>
      </c>
      <c r="AO191" s="18">
        <v>25</v>
      </c>
      <c r="AP191" s="18">
        <v>25</v>
      </c>
      <c r="AQ191" s="18">
        <v>0</v>
      </c>
      <c r="AR191" s="14">
        <v>0</v>
      </c>
    </row>
    <row r="192" spans="1:44">
      <c r="A192" s="3" t="s">
        <v>44</v>
      </c>
      <c r="B192" s="3" t="s">
        <v>59</v>
      </c>
      <c r="C192" s="8" t="s">
        <v>49</v>
      </c>
      <c r="D192" s="8" t="s">
        <v>64</v>
      </c>
      <c r="E192" s="30">
        <v>1</v>
      </c>
      <c r="F192" s="10">
        <v>280.431</v>
      </c>
      <c r="G192" s="10">
        <v>5.985</v>
      </c>
      <c r="H192" s="10">
        <v>46.8556390977444</v>
      </c>
      <c r="I192" s="10">
        <v>-73.4428857698101</v>
      </c>
      <c r="J192" s="10">
        <v>11.7013241775612</v>
      </c>
      <c r="K192" s="14">
        <v>0.965298569914269</v>
      </c>
      <c r="L192" s="14">
        <v>0.967744035110557</v>
      </c>
      <c r="M192" s="10">
        <v>8.15204276059267</v>
      </c>
      <c r="N192" s="10">
        <v>9.432</v>
      </c>
      <c r="O192" s="14">
        <v>0.989992201715623</v>
      </c>
      <c r="P192" s="18">
        <v>253</v>
      </c>
      <c r="Q192" s="18">
        <v>253</v>
      </c>
      <c r="R192" s="18">
        <v>0</v>
      </c>
      <c r="S192" s="14">
        <v>0</v>
      </c>
      <c r="T192" s="10">
        <v>4.79358337737844</v>
      </c>
      <c r="U192" s="10">
        <v>5.859</v>
      </c>
      <c r="V192" s="14">
        <v>0.980972515856237</v>
      </c>
      <c r="W192" s="18">
        <v>252</v>
      </c>
      <c r="X192" s="18">
        <v>252</v>
      </c>
      <c r="Y192" s="18">
        <v>0</v>
      </c>
      <c r="Z192" s="14">
        <v>0</v>
      </c>
      <c r="AA192" s="10">
        <v>-73.7079668085106</v>
      </c>
      <c r="AB192" s="10">
        <v>11.1242935460993</v>
      </c>
      <c r="AC192" s="14">
        <v>0.970780141843972</v>
      </c>
      <c r="AD192" s="14">
        <v>0.97290780141844</v>
      </c>
      <c r="AE192" s="10">
        <v>8.16410554345195</v>
      </c>
      <c r="AF192" s="10">
        <v>9.398</v>
      </c>
      <c r="AG192" s="14">
        <v>0.991769547325103</v>
      </c>
      <c r="AH192" s="18">
        <v>253</v>
      </c>
      <c r="AI192" s="18">
        <v>253</v>
      </c>
      <c r="AJ192" s="18">
        <v>0</v>
      </c>
      <c r="AK192" s="14">
        <v>0</v>
      </c>
      <c r="AL192" s="10">
        <v>4.8036910957269</v>
      </c>
      <c r="AM192" s="10">
        <v>5.743</v>
      </c>
      <c r="AN192" s="14">
        <v>0.984244449749344</v>
      </c>
      <c r="AO192" s="18">
        <v>252</v>
      </c>
      <c r="AP192" s="18">
        <v>252</v>
      </c>
      <c r="AQ192" s="18">
        <v>0</v>
      </c>
      <c r="AR192" s="14">
        <v>0</v>
      </c>
    </row>
    <row r="193" spans="1:44">
      <c r="A193" s="3" t="s">
        <v>51</v>
      </c>
      <c r="B193" s="4" t="s">
        <v>62</v>
      </c>
      <c r="C193" s="4" t="s">
        <v>46</v>
      </c>
      <c r="D193" s="4" t="s">
        <v>47</v>
      </c>
      <c r="E193" s="31">
        <v>2</v>
      </c>
      <c r="F193" s="11"/>
      <c r="G193" s="11">
        <v>0.378438888888889</v>
      </c>
      <c r="H193" s="11"/>
      <c r="I193" s="11">
        <v>-73.2347741409237</v>
      </c>
      <c r="J193" s="11">
        <v>13.3859495097345</v>
      </c>
      <c r="K193" s="15">
        <v>0.999706271111764</v>
      </c>
      <c r="L193" s="15">
        <v>0.999706271111764</v>
      </c>
      <c r="M193" s="11">
        <v>5.35661736789298</v>
      </c>
      <c r="N193" s="11">
        <v>7.75784</v>
      </c>
      <c r="O193" s="15">
        <v>0.949832775919732</v>
      </c>
      <c r="P193" s="19">
        <v>10</v>
      </c>
      <c r="Q193" s="19">
        <v>10</v>
      </c>
      <c r="R193" s="19">
        <v>0</v>
      </c>
      <c r="S193" s="15">
        <v>0</v>
      </c>
      <c r="T193" s="11">
        <v>4.37359401666667</v>
      </c>
      <c r="U193" s="11">
        <v>6.11055</v>
      </c>
      <c r="V193" s="15">
        <v>0.996666666666667</v>
      </c>
      <c r="W193" s="19">
        <v>10</v>
      </c>
      <c r="X193" s="19">
        <v>10</v>
      </c>
      <c r="Y193" s="19">
        <v>0</v>
      </c>
      <c r="Z193" s="15">
        <v>0</v>
      </c>
      <c r="AA193" s="11"/>
      <c r="AB193" s="11"/>
      <c r="AC193" s="15"/>
      <c r="AD193" s="15"/>
      <c r="AE193" s="11"/>
      <c r="AF193" s="11"/>
      <c r="AG193" s="15"/>
      <c r="AH193" s="19"/>
      <c r="AI193" s="19"/>
      <c r="AJ193" s="19"/>
      <c r="AK193" s="15"/>
      <c r="AL193" s="11"/>
      <c r="AM193" s="11"/>
      <c r="AN193" s="15"/>
      <c r="AO193" s="19"/>
      <c r="AP193" s="19"/>
      <c r="AQ193" s="19"/>
      <c r="AR193" s="15"/>
    </row>
    <row r="194" spans="1:44">
      <c r="A194" s="3" t="s">
        <v>44</v>
      </c>
      <c r="B194" s="3" t="s">
        <v>45</v>
      </c>
      <c r="C194" s="4" t="s">
        <v>49</v>
      </c>
      <c r="D194" s="5" t="s">
        <v>50</v>
      </c>
      <c r="E194" s="29">
        <v>3</v>
      </c>
      <c r="F194" s="10">
        <v>0.935</v>
      </c>
      <c r="G194" s="10">
        <v>0.21</v>
      </c>
      <c r="H194" s="10">
        <v>4.45238095238095</v>
      </c>
      <c r="I194" s="10">
        <v>-73.1271592039801</v>
      </c>
      <c r="J194" s="10">
        <v>7.66980375898286</v>
      </c>
      <c r="K194" s="14">
        <v>0.920398009950249</v>
      </c>
      <c r="L194" s="14">
        <v>0.920398009950249</v>
      </c>
      <c r="M194" s="10">
        <v>6.25283823529412</v>
      </c>
      <c r="N194" s="10">
        <v>9.787</v>
      </c>
      <c r="O194" s="14">
        <v>0.886029411764706</v>
      </c>
      <c r="P194" s="18">
        <v>9</v>
      </c>
      <c r="Q194" s="18">
        <v>9</v>
      </c>
      <c r="R194" s="18">
        <v>0</v>
      </c>
      <c r="S194" s="14">
        <v>0</v>
      </c>
      <c r="T194" s="10">
        <v>4.90819008264463</v>
      </c>
      <c r="U194" s="10">
        <v>5.735</v>
      </c>
      <c r="V194" s="14">
        <v>0.991735537190083</v>
      </c>
      <c r="W194" s="18">
        <v>8</v>
      </c>
      <c r="X194" s="18">
        <v>8</v>
      </c>
      <c r="Y194" s="18">
        <v>0</v>
      </c>
      <c r="Z194" s="14">
        <v>0</v>
      </c>
      <c r="AA194" s="10">
        <v>-73.13621875</v>
      </c>
      <c r="AB194" s="10">
        <v>7.750078125</v>
      </c>
      <c r="AC194" s="14">
        <v>0.984375</v>
      </c>
      <c r="AD194" s="14">
        <v>0.984375</v>
      </c>
      <c r="AE194" s="10">
        <v>6.55473076923077</v>
      </c>
      <c r="AF194" s="10">
        <v>9.675</v>
      </c>
      <c r="AG194" s="14">
        <v>1</v>
      </c>
      <c r="AH194" s="18">
        <v>9</v>
      </c>
      <c r="AI194" s="18">
        <v>9</v>
      </c>
      <c r="AJ194" s="18">
        <v>0</v>
      </c>
      <c r="AK194" s="14">
        <v>0</v>
      </c>
      <c r="AL194" s="10">
        <v>4.88440740740741</v>
      </c>
      <c r="AM194" s="10">
        <v>5.301</v>
      </c>
      <c r="AN194" s="14">
        <v>1</v>
      </c>
      <c r="AO194" s="18">
        <v>8</v>
      </c>
      <c r="AP194" s="18">
        <v>8</v>
      </c>
      <c r="AQ194" s="18">
        <v>0</v>
      </c>
      <c r="AR194" s="14">
        <v>0</v>
      </c>
    </row>
    <row r="195" spans="1:44">
      <c r="A195" s="3" t="s">
        <v>51</v>
      </c>
      <c r="B195" s="4" t="s">
        <v>58</v>
      </c>
      <c r="C195" s="6" t="s">
        <v>49</v>
      </c>
      <c r="D195" s="6" t="s">
        <v>50</v>
      </c>
      <c r="E195" s="30">
        <v>2</v>
      </c>
      <c r="F195" s="11">
        <v>5.40014562910795</v>
      </c>
      <c r="G195" s="11">
        <v>0.644688888888889</v>
      </c>
      <c r="H195" s="11">
        <v>8.37635908137803</v>
      </c>
      <c r="I195" s="11">
        <v>-73.0079912121526</v>
      </c>
      <c r="J195" s="11">
        <v>4.82569905133079</v>
      </c>
      <c r="K195" s="15">
        <v>0.901376546436661</v>
      </c>
      <c r="L195" s="15">
        <v>0.901376546436661</v>
      </c>
      <c r="M195" s="11">
        <v>6.86230594705882</v>
      </c>
      <c r="N195" s="11">
        <v>9.36962</v>
      </c>
      <c r="O195" s="15">
        <v>0.976470588235294</v>
      </c>
      <c r="P195" s="19">
        <v>17</v>
      </c>
      <c r="Q195" s="19">
        <v>17</v>
      </c>
      <c r="R195" s="19">
        <v>0</v>
      </c>
      <c r="S195" s="15">
        <v>0</v>
      </c>
      <c r="T195" s="11">
        <v>4.75054559166667</v>
      </c>
      <c r="U195" s="11">
        <v>7.03297</v>
      </c>
      <c r="V195" s="15">
        <v>0.99375</v>
      </c>
      <c r="W195" s="19">
        <v>16</v>
      </c>
      <c r="X195" s="19">
        <v>16</v>
      </c>
      <c r="Y195" s="19">
        <v>0</v>
      </c>
      <c r="Z195" s="15">
        <v>0</v>
      </c>
      <c r="AA195" s="11">
        <v>-72.6326417478754</v>
      </c>
      <c r="AB195" s="11">
        <v>5.19419264927113</v>
      </c>
      <c r="AC195" s="15">
        <v>0.946428571428571</v>
      </c>
      <c r="AD195" s="15">
        <v>0.946428571428571</v>
      </c>
      <c r="AE195" s="11">
        <v>6.62913986340285</v>
      </c>
      <c r="AF195" s="11">
        <v>8.57854869230769</v>
      </c>
      <c r="AG195" s="15">
        <v>0.985074626865672</v>
      </c>
      <c r="AH195" s="19">
        <v>17</v>
      </c>
      <c r="AI195" s="19">
        <v>17</v>
      </c>
      <c r="AJ195" s="19">
        <v>0</v>
      </c>
      <c r="AK195" s="15">
        <v>0</v>
      </c>
      <c r="AL195" s="11">
        <v>4.66529654350649</v>
      </c>
      <c r="AM195" s="11">
        <v>6.0818162</v>
      </c>
      <c r="AN195" s="15">
        <v>1</v>
      </c>
      <c r="AO195" s="19">
        <v>16</v>
      </c>
      <c r="AP195" s="19">
        <v>16</v>
      </c>
      <c r="AQ195" s="19">
        <v>0</v>
      </c>
      <c r="AR195" s="15">
        <v>0</v>
      </c>
    </row>
    <row r="196" spans="1:44">
      <c r="A196" s="3" t="s">
        <v>44</v>
      </c>
      <c r="B196" s="7" t="s">
        <v>60</v>
      </c>
      <c r="C196" s="4" t="s">
        <v>46</v>
      </c>
      <c r="D196" s="5" t="s">
        <v>53</v>
      </c>
      <c r="E196" s="29">
        <v>2</v>
      </c>
      <c r="F196" s="10"/>
      <c r="G196" s="10">
        <v>0.247</v>
      </c>
      <c r="H196" s="10"/>
      <c r="I196" s="10">
        <v>-72.7930043339416</v>
      </c>
      <c r="J196" s="10">
        <v>27.2008314324818</v>
      </c>
      <c r="K196" s="14">
        <v>1</v>
      </c>
      <c r="L196" s="14">
        <v>1</v>
      </c>
      <c r="M196" s="10">
        <v>9.53646103896104</v>
      </c>
      <c r="N196" s="10">
        <v>9.924</v>
      </c>
      <c r="O196" s="14">
        <v>1</v>
      </c>
      <c r="P196" s="18">
        <v>10</v>
      </c>
      <c r="Q196" s="18">
        <v>10</v>
      </c>
      <c r="R196" s="18">
        <v>0</v>
      </c>
      <c r="S196" s="14">
        <v>0</v>
      </c>
      <c r="T196" s="10">
        <v>5.04342</v>
      </c>
      <c r="U196" s="10">
        <v>5.863</v>
      </c>
      <c r="V196" s="14">
        <v>1</v>
      </c>
      <c r="W196" s="18">
        <v>10</v>
      </c>
      <c r="X196" s="18">
        <v>10</v>
      </c>
      <c r="Y196" s="18">
        <v>0</v>
      </c>
      <c r="Z196" s="14">
        <v>0</v>
      </c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</row>
    <row r="197" spans="1:44">
      <c r="A197" s="3" t="s">
        <v>44</v>
      </c>
      <c r="B197" s="3" t="s">
        <v>45</v>
      </c>
      <c r="C197" s="8" t="s">
        <v>49</v>
      </c>
      <c r="D197" s="5" t="s">
        <v>50</v>
      </c>
      <c r="E197" s="29">
        <v>1</v>
      </c>
      <c r="F197" s="10">
        <v>0.935</v>
      </c>
      <c r="G197" s="10">
        <v>0.209</v>
      </c>
      <c r="H197" s="10">
        <v>4.47368421052632</v>
      </c>
      <c r="I197" s="10">
        <v>-72.6483783783784</v>
      </c>
      <c r="J197" s="10">
        <v>10.7274862162162</v>
      </c>
      <c r="K197" s="14">
        <v>0.974324324324324</v>
      </c>
      <c r="L197" s="14">
        <v>0.974324324324324</v>
      </c>
      <c r="M197" s="10">
        <v>6.18928163265306</v>
      </c>
      <c r="N197" s="10">
        <v>8.278</v>
      </c>
      <c r="O197" s="14">
        <v>0.971428571428571</v>
      </c>
      <c r="P197" s="18">
        <v>8</v>
      </c>
      <c r="Q197" s="18">
        <v>8</v>
      </c>
      <c r="R197" s="18">
        <v>0</v>
      </c>
      <c r="S197" s="14">
        <v>0</v>
      </c>
      <c r="T197" s="10">
        <v>2.72836531365314</v>
      </c>
      <c r="U197" s="10">
        <v>5.135</v>
      </c>
      <c r="V197" s="14">
        <v>0.867158671586716</v>
      </c>
      <c r="W197" s="18">
        <v>9</v>
      </c>
      <c r="X197" s="18">
        <v>9</v>
      </c>
      <c r="Y197" s="18">
        <v>0</v>
      </c>
      <c r="Z197" s="14">
        <v>0</v>
      </c>
      <c r="AA197" s="10">
        <v>-72.3585</v>
      </c>
      <c r="AB197" s="10">
        <v>11.023890625</v>
      </c>
      <c r="AC197" s="14">
        <v>1</v>
      </c>
      <c r="AD197" s="14">
        <v>1</v>
      </c>
      <c r="AE197" s="10">
        <v>6.28195833333333</v>
      </c>
      <c r="AF197" s="10">
        <v>7.836</v>
      </c>
      <c r="AG197" s="14">
        <v>1</v>
      </c>
      <c r="AH197" s="18">
        <v>8</v>
      </c>
      <c r="AI197" s="18">
        <v>8</v>
      </c>
      <c r="AJ197" s="18">
        <v>0</v>
      </c>
      <c r="AK197" s="14">
        <v>0</v>
      </c>
      <c r="AL197" s="10">
        <v>2.71535714285714</v>
      </c>
      <c r="AM197" s="10">
        <v>4.627</v>
      </c>
      <c r="AN197" s="14">
        <v>1</v>
      </c>
      <c r="AO197" s="18">
        <v>9</v>
      </c>
      <c r="AP197" s="18">
        <v>9</v>
      </c>
      <c r="AQ197" s="18">
        <v>0</v>
      </c>
      <c r="AR197" s="14">
        <v>0</v>
      </c>
    </row>
    <row r="198" spans="1:44">
      <c r="A198" s="3" t="s">
        <v>44</v>
      </c>
      <c r="B198" s="3" t="s">
        <v>48</v>
      </c>
      <c r="C198" s="4" t="s">
        <v>46</v>
      </c>
      <c r="D198" s="5" t="s">
        <v>53</v>
      </c>
      <c r="E198" s="29">
        <v>3</v>
      </c>
      <c r="F198" s="10"/>
      <c r="G198" s="10">
        <v>0.239</v>
      </c>
      <c r="H198" s="10"/>
      <c r="I198" s="10">
        <v>-72.5779466573492</v>
      </c>
      <c r="J198" s="10">
        <v>13.0789776380154</v>
      </c>
      <c r="K198" s="14">
        <v>1</v>
      </c>
      <c r="L198" s="14">
        <v>1</v>
      </c>
      <c r="M198" s="10">
        <v>8.40767540983606</v>
      </c>
      <c r="N198" s="10">
        <v>9.305</v>
      </c>
      <c r="O198" s="14">
        <v>0.99672131147541</v>
      </c>
      <c r="P198" s="18">
        <v>10</v>
      </c>
      <c r="Q198" s="18">
        <v>10</v>
      </c>
      <c r="R198" s="18">
        <v>0</v>
      </c>
      <c r="S198" s="14">
        <v>0</v>
      </c>
      <c r="T198" s="10">
        <v>4.93253488372093</v>
      </c>
      <c r="U198" s="10">
        <v>5.785</v>
      </c>
      <c r="V198" s="14">
        <v>0.996677740863787</v>
      </c>
      <c r="W198" s="18">
        <v>10</v>
      </c>
      <c r="X198" s="18">
        <v>10</v>
      </c>
      <c r="Y198" s="18">
        <v>0</v>
      </c>
      <c r="Z198" s="14">
        <v>0</v>
      </c>
      <c r="AA198" s="10"/>
      <c r="AB198" s="10"/>
      <c r="AC198" s="14"/>
      <c r="AD198" s="14"/>
      <c r="AE198" s="10"/>
      <c r="AF198" s="10"/>
      <c r="AG198" s="14"/>
      <c r="AH198" s="18"/>
      <c r="AI198" s="18"/>
      <c r="AJ198" s="18"/>
      <c r="AK198" s="14"/>
      <c r="AL198" s="10"/>
      <c r="AM198" s="10"/>
      <c r="AN198" s="14"/>
      <c r="AO198" s="18"/>
      <c r="AP198" s="18"/>
      <c r="AQ198" s="18"/>
      <c r="AR198" s="14"/>
    </row>
    <row r="199" spans="1:44">
      <c r="A199" s="3" t="s">
        <v>51</v>
      </c>
      <c r="B199" s="4" t="s">
        <v>58</v>
      </c>
      <c r="C199" s="5" t="s">
        <v>46</v>
      </c>
      <c r="D199" s="6" t="s">
        <v>65</v>
      </c>
      <c r="E199" s="30">
        <v>2</v>
      </c>
      <c r="F199" s="11" t="s">
        <v>54</v>
      </c>
      <c r="G199" s="11">
        <v>0.393691666666667</v>
      </c>
      <c r="H199" s="11" t="s">
        <v>54</v>
      </c>
      <c r="I199" s="11">
        <v>-72.4512155224592</v>
      </c>
      <c r="J199" s="11">
        <v>8.24711412756645</v>
      </c>
      <c r="K199" s="15">
        <v>0.999011997177135</v>
      </c>
      <c r="L199" s="15">
        <v>0.999011997177135</v>
      </c>
      <c r="M199" s="11">
        <v>7.88824557333333</v>
      </c>
      <c r="N199" s="11">
        <v>8.51021</v>
      </c>
      <c r="O199" s="15">
        <v>1</v>
      </c>
      <c r="P199" s="19">
        <v>10</v>
      </c>
      <c r="Q199" s="19">
        <v>10</v>
      </c>
      <c r="R199" s="19">
        <v>0</v>
      </c>
      <c r="S199" s="15">
        <v>0</v>
      </c>
      <c r="T199" s="11">
        <v>5.18064573</v>
      </c>
      <c r="U199" s="11">
        <v>8.32</v>
      </c>
      <c r="V199" s="15">
        <v>1</v>
      </c>
      <c r="W199" s="19">
        <v>10</v>
      </c>
      <c r="X199" s="19">
        <v>10</v>
      </c>
      <c r="Y199" s="19">
        <v>0</v>
      </c>
      <c r="Z199" s="15">
        <v>0</v>
      </c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</row>
    <row r="200" spans="1:44">
      <c r="A200" s="3" t="s">
        <v>44</v>
      </c>
      <c r="B200" s="3" t="s">
        <v>48</v>
      </c>
      <c r="C200" s="4" t="s">
        <v>49</v>
      </c>
      <c r="D200" s="5" t="s">
        <v>50</v>
      </c>
      <c r="E200" s="29">
        <v>3</v>
      </c>
      <c r="F200" s="10">
        <v>3.658</v>
      </c>
      <c r="G200" s="10">
        <v>1.003</v>
      </c>
      <c r="H200" s="10">
        <v>3.64705882352941</v>
      </c>
      <c r="I200" s="10">
        <v>-72.3716164125407</v>
      </c>
      <c r="J200" s="10">
        <v>6.26055319513449</v>
      </c>
      <c r="K200" s="14">
        <v>0.951744617668894</v>
      </c>
      <c r="L200" s="14">
        <v>0.951744617668894</v>
      </c>
      <c r="M200" s="10">
        <v>8.37812617554859</v>
      </c>
      <c r="N200" s="10">
        <v>9.912</v>
      </c>
      <c r="O200" s="14">
        <v>0.986677115987461</v>
      </c>
      <c r="P200" s="18">
        <v>42</v>
      </c>
      <c r="Q200" s="18">
        <v>42</v>
      </c>
      <c r="R200" s="18">
        <v>0</v>
      </c>
      <c r="S200" s="14">
        <v>0</v>
      </c>
      <c r="T200" s="10">
        <v>4.9474511627907</v>
      </c>
      <c r="U200" s="10">
        <v>5.992</v>
      </c>
      <c r="V200" s="14">
        <v>1</v>
      </c>
      <c r="W200" s="18">
        <v>43</v>
      </c>
      <c r="X200" s="18">
        <v>43</v>
      </c>
      <c r="Y200" s="18">
        <v>0</v>
      </c>
      <c r="Z200" s="14">
        <v>0</v>
      </c>
      <c r="AA200" s="10">
        <v>-73.1684680851064</v>
      </c>
      <c r="AB200" s="10">
        <v>5.71622127659574</v>
      </c>
      <c r="AC200" s="14">
        <v>0.987234042553192</v>
      </c>
      <c r="AD200" s="14">
        <v>0.987234042553192</v>
      </c>
      <c r="AE200" s="10">
        <v>8.20513186813187</v>
      </c>
      <c r="AF200" s="10">
        <v>9.812</v>
      </c>
      <c r="AG200" s="14">
        <v>1</v>
      </c>
      <c r="AH200" s="18">
        <v>42</v>
      </c>
      <c r="AI200" s="18">
        <v>42</v>
      </c>
      <c r="AJ200" s="18">
        <v>0</v>
      </c>
      <c r="AK200" s="14">
        <v>0</v>
      </c>
      <c r="AL200" s="10">
        <v>4.94241935483871</v>
      </c>
      <c r="AM200" s="10">
        <v>5.156</v>
      </c>
      <c r="AN200" s="14">
        <v>1</v>
      </c>
      <c r="AO200" s="18">
        <v>43</v>
      </c>
      <c r="AP200" s="18">
        <v>43</v>
      </c>
      <c r="AQ200" s="18">
        <v>0</v>
      </c>
      <c r="AR200" s="14">
        <v>0</v>
      </c>
    </row>
    <row r="201" spans="1:44">
      <c r="A201" s="3" t="s">
        <v>44</v>
      </c>
      <c r="B201" s="7" t="s">
        <v>60</v>
      </c>
      <c r="C201" s="4" t="s">
        <v>46</v>
      </c>
      <c r="D201" s="5" t="s">
        <v>53</v>
      </c>
      <c r="E201" s="29">
        <v>3</v>
      </c>
      <c r="F201" s="10"/>
      <c r="G201" s="10">
        <v>0.246</v>
      </c>
      <c r="H201" s="10"/>
      <c r="I201" s="10">
        <v>-72.3635965935604</v>
      </c>
      <c r="J201" s="10">
        <v>14.8234587027531</v>
      </c>
      <c r="K201" s="14">
        <v>1</v>
      </c>
      <c r="L201" s="14">
        <v>1</v>
      </c>
      <c r="M201" s="10">
        <v>9.22369155844156</v>
      </c>
      <c r="N201" s="10">
        <v>9.899</v>
      </c>
      <c r="O201" s="14">
        <v>1</v>
      </c>
      <c r="P201" s="18">
        <v>10</v>
      </c>
      <c r="Q201" s="18">
        <v>10</v>
      </c>
      <c r="R201" s="18">
        <v>0</v>
      </c>
      <c r="S201" s="14">
        <v>0</v>
      </c>
      <c r="T201" s="10">
        <v>4.90911</v>
      </c>
      <c r="U201" s="10">
        <v>5.938</v>
      </c>
      <c r="V201" s="14">
        <v>1</v>
      </c>
      <c r="W201" s="18">
        <v>10</v>
      </c>
      <c r="X201" s="18">
        <v>10</v>
      </c>
      <c r="Y201" s="18">
        <v>0</v>
      </c>
      <c r="Z201" s="14">
        <v>0</v>
      </c>
      <c r="AA201" s="10"/>
      <c r="AB201" s="10"/>
      <c r="AC201" s="14"/>
      <c r="AD201" s="14"/>
      <c r="AE201" s="10"/>
      <c r="AF201" s="10"/>
      <c r="AG201" s="14"/>
      <c r="AH201" s="18"/>
      <c r="AI201" s="18"/>
      <c r="AJ201" s="18"/>
      <c r="AK201" s="14"/>
      <c r="AL201" s="10"/>
      <c r="AM201" s="10"/>
      <c r="AN201" s="14"/>
      <c r="AO201" s="18"/>
      <c r="AP201" s="18"/>
      <c r="AQ201" s="18"/>
      <c r="AR201" s="14"/>
    </row>
    <row r="202" spans="1:44">
      <c r="A202" s="3" t="s">
        <v>44</v>
      </c>
      <c r="B202" s="3" t="s">
        <v>56</v>
      </c>
      <c r="C202" s="4" t="s">
        <v>49</v>
      </c>
      <c r="D202" s="5" t="s">
        <v>50</v>
      </c>
      <c r="E202" s="29">
        <v>3</v>
      </c>
      <c r="F202" s="10">
        <v>5.621</v>
      </c>
      <c r="G202" s="10">
        <v>0.584</v>
      </c>
      <c r="H202" s="10">
        <v>9.625</v>
      </c>
      <c r="I202" s="10">
        <v>-72.2933917197452</v>
      </c>
      <c r="J202" s="10">
        <v>9.79070160200733</v>
      </c>
      <c r="K202" s="14">
        <v>0.95560702567072</v>
      </c>
      <c r="L202" s="14">
        <v>0.95560702567072</v>
      </c>
      <c r="M202" s="10">
        <v>8.76371896316507</v>
      </c>
      <c r="N202" s="10">
        <v>9.88</v>
      </c>
      <c r="O202" s="14">
        <v>0.990450204638472</v>
      </c>
      <c r="P202" s="18">
        <v>24</v>
      </c>
      <c r="Q202" s="18">
        <v>24</v>
      </c>
      <c r="R202" s="18">
        <v>0</v>
      </c>
      <c r="S202" s="14">
        <v>0</v>
      </c>
      <c r="T202" s="10">
        <v>4.77536582109479</v>
      </c>
      <c r="U202" s="10">
        <v>5.477</v>
      </c>
      <c r="V202" s="14">
        <v>0.998664886515354</v>
      </c>
      <c r="W202" s="18">
        <v>25</v>
      </c>
      <c r="X202" s="18">
        <v>25</v>
      </c>
      <c r="Y202" s="18">
        <v>0</v>
      </c>
      <c r="Z202" s="14">
        <v>0</v>
      </c>
      <c r="AA202" s="10">
        <v>-73.538763803681</v>
      </c>
      <c r="AB202" s="10">
        <v>9.29430981595092</v>
      </c>
      <c r="AC202" s="14">
        <v>0.984662576687116</v>
      </c>
      <c r="AD202" s="14">
        <v>0.984662576687116</v>
      </c>
      <c r="AE202" s="10">
        <v>8.74775892857143</v>
      </c>
      <c r="AF202" s="10">
        <v>9.69</v>
      </c>
      <c r="AG202" s="14">
        <v>1</v>
      </c>
      <c r="AH202" s="18">
        <v>24</v>
      </c>
      <c r="AI202" s="18">
        <v>24</v>
      </c>
      <c r="AJ202" s="18">
        <v>0</v>
      </c>
      <c r="AK202" s="14">
        <v>0</v>
      </c>
      <c r="AL202" s="10">
        <v>4.74973109243697</v>
      </c>
      <c r="AM202" s="10">
        <v>5.096</v>
      </c>
      <c r="AN202" s="14">
        <v>1</v>
      </c>
      <c r="AO202" s="18">
        <v>25</v>
      </c>
      <c r="AP202" s="18">
        <v>25</v>
      </c>
      <c r="AQ202" s="18">
        <v>0</v>
      </c>
      <c r="AR202" s="14">
        <v>0</v>
      </c>
    </row>
    <row r="203" spans="1:44">
      <c r="A203" s="3" t="s">
        <v>44</v>
      </c>
      <c r="B203" s="3" t="s">
        <v>59</v>
      </c>
      <c r="C203" s="4" t="s">
        <v>49</v>
      </c>
      <c r="D203" s="5" t="s">
        <v>50</v>
      </c>
      <c r="E203" s="29">
        <v>1</v>
      </c>
      <c r="F203" s="10">
        <v>2.716</v>
      </c>
      <c r="G203" s="10">
        <v>0.698</v>
      </c>
      <c r="H203" s="10">
        <v>3.89111747851003</v>
      </c>
      <c r="I203" s="10">
        <v>-72.1830442280058</v>
      </c>
      <c r="J203" s="10">
        <v>9.40724045984352</v>
      </c>
      <c r="K203" s="14">
        <v>0.97437330352866</v>
      </c>
      <c r="L203" s="14">
        <v>0.97437330352866</v>
      </c>
      <c r="M203" s="10">
        <v>8.23571023965142</v>
      </c>
      <c r="N203" s="10">
        <v>8.903</v>
      </c>
      <c r="O203" s="14">
        <v>0.994553376906318</v>
      </c>
      <c r="P203" s="18">
        <v>30</v>
      </c>
      <c r="Q203" s="18">
        <v>30</v>
      </c>
      <c r="R203" s="18">
        <v>0</v>
      </c>
      <c r="S203" s="14">
        <v>0</v>
      </c>
      <c r="T203" s="10">
        <v>4.98812873563218</v>
      </c>
      <c r="U203" s="10">
        <v>5.896</v>
      </c>
      <c r="V203" s="14">
        <v>0.998850574712644</v>
      </c>
      <c r="W203" s="18">
        <v>29</v>
      </c>
      <c r="X203" s="18">
        <v>29</v>
      </c>
      <c r="Y203" s="18">
        <v>0</v>
      </c>
      <c r="Z203" s="14">
        <v>0</v>
      </c>
      <c r="AA203" s="10">
        <v>-71.5842340425532</v>
      </c>
      <c r="AB203" s="10">
        <v>9.49629787234043</v>
      </c>
      <c r="AC203" s="14">
        <v>0.984042553191489</v>
      </c>
      <c r="AD203" s="14">
        <v>0.984042553191489</v>
      </c>
      <c r="AE203" s="10">
        <v>8.18118181818182</v>
      </c>
      <c r="AF203" s="10">
        <v>8.704</v>
      </c>
      <c r="AG203" s="14">
        <v>1</v>
      </c>
      <c r="AH203" s="18">
        <v>30</v>
      </c>
      <c r="AI203" s="18">
        <v>30</v>
      </c>
      <c r="AJ203" s="18">
        <v>0</v>
      </c>
      <c r="AK203" s="14">
        <v>0</v>
      </c>
      <c r="AL203" s="10">
        <v>5.03164383561644</v>
      </c>
      <c r="AM203" s="10">
        <v>5.255</v>
      </c>
      <c r="AN203" s="14">
        <v>1</v>
      </c>
      <c r="AO203" s="18">
        <v>29</v>
      </c>
      <c r="AP203" s="18">
        <v>29</v>
      </c>
      <c r="AQ203" s="18">
        <v>0</v>
      </c>
      <c r="AR203" s="14">
        <v>0</v>
      </c>
    </row>
    <row r="204" spans="1:44">
      <c r="A204" s="3" t="s">
        <v>44</v>
      </c>
      <c r="B204" s="3" t="s">
        <v>59</v>
      </c>
      <c r="C204" s="4" t="s">
        <v>49</v>
      </c>
      <c r="D204" s="5" t="s">
        <v>50</v>
      </c>
      <c r="E204" s="29">
        <v>1</v>
      </c>
      <c r="F204" s="10">
        <v>2.717</v>
      </c>
      <c r="G204" s="10">
        <v>0.608</v>
      </c>
      <c r="H204" s="10">
        <v>4.46875</v>
      </c>
      <c r="I204" s="10">
        <v>-72.1202304147465</v>
      </c>
      <c r="J204" s="10">
        <v>12.2599452534562</v>
      </c>
      <c r="K204" s="14">
        <v>0.98221198156682</v>
      </c>
      <c r="L204" s="14">
        <v>0.98221198156682</v>
      </c>
      <c r="M204" s="10">
        <v>8.02291287878788</v>
      </c>
      <c r="N204" s="10">
        <v>9.129</v>
      </c>
      <c r="O204" s="14">
        <v>0.974747474747475</v>
      </c>
      <c r="P204" s="18">
        <v>26</v>
      </c>
      <c r="Q204" s="18">
        <v>26</v>
      </c>
      <c r="R204" s="18">
        <v>0</v>
      </c>
      <c r="S204" s="14">
        <v>0</v>
      </c>
      <c r="T204" s="10">
        <v>5.00123733333333</v>
      </c>
      <c r="U204" s="10">
        <v>5.922</v>
      </c>
      <c r="V204" s="14">
        <v>1</v>
      </c>
      <c r="W204" s="18">
        <v>25</v>
      </c>
      <c r="X204" s="18">
        <v>25</v>
      </c>
      <c r="Y204" s="18">
        <v>0</v>
      </c>
      <c r="Z204" s="14">
        <v>0</v>
      </c>
      <c r="AA204" s="10">
        <v>-72.3755755813954</v>
      </c>
      <c r="AB204" s="10">
        <v>11.8550523255814</v>
      </c>
      <c r="AC204" s="14">
        <v>0.982558139534884</v>
      </c>
      <c r="AD204" s="14">
        <v>0.982558139534884</v>
      </c>
      <c r="AE204" s="10">
        <v>7.98594805194805</v>
      </c>
      <c r="AF204" s="10">
        <v>8.772</v>
      </c>
      <c r="AG204" s="14">
        <v>0.987012987012987</v>
      </c>
      <c r="AH204" s="18">
        <v>26</v>
      </c>
      <c r="AI204" s="18">
        <v>26</v>
      </c>
      <c r="AJ204" s="18">
        <v>0</v>
      </c>
      <c r="AK204" s="14">
        <v>0</v>
      </c>
      <c r="AL204" s="10">
        <v>5.0084</v>
      </c>
      <c r="AM204" s="10">
        <v>5.366</v>
      </c>
      <c r="AN204" s="14">
        <v>1</v>
      </c>
      <c r="AO204" s="18">
        <v>25</v>
      </c>
      <c r="AP204" s="18">
        <v>25</v>
      </c>
      <c r="AQ204" s="18">
        <v>0</v>
      </c>
      <c r="AR204" s="14">
        <v>0</v>
      </c>
    </row>
    <row r="205" spans="1:44">
      <c r="A205" s="3" t="s">
        <v>51</v>
      </c>
      <c r="B205" s="6" t="s">
        <v>52</v>
      </c>
      <c r="C205" s="6" t="s">
        <v>49</v>
      </c>
      <c r="D205" s="6" t="s">
        <v>61</v>
      </c>
      <c r="E205" s="30">
        <v>1</v>
      </c>
      <c r="F205" s="11">
        <v>2.12726338416338</v>
      </c>
      <c r="G205" s="11">
        <v>0.450102777777778</v>
      </c>
      <c r="H205" s="11">
        <v>4.7261725303407</v>
      </c>
      <c r="I205" s="11">
        <v>-72.1156744881506</v>
      </c>
      <c r="J205" s="11">
        <v>14.5744899760627</v>
      </c>
      <c r="K205" s="15">
        <v>0.991716122650841</v>
      </c>
      <c r="L205" s="15">
        <v>0.991716122650841</v>
      </c>
      <c r="M205" s="11">
        <v>9.45937986666667</v>
      </c>
      <c r="N205" s="11">
        <v>10.0795</v>
      </c>
      <c r="O205" s="15">
        <v>1</v>
      </c>
      <c r="P205" s="19">
        <v>10</v>
      </c>
      <c r="Q205" s="19">
        <v>10</v>
      </c>
      <c r="R205" s="19">
        <v>0</v>
      </c>
      <c r="S205" s="15">
        <v>0</v>
      </c>
      <c r="T205" s="11">
        <v>4.67198382424242</v>
      </c>
      <c r="U205" s="11">
        <v>6.06786</v>
      </c>
      <c r="V205" s="15">
        <v>0.996969696969697</v>
      </c>
      <c r="W205" s="19">
        <v>11</v>
      </c>
      <c r="X205" s="19">
        <v>11</v>
      </c>
      <c r="Y205" s="19">
        <v>0</v>
      </c>
      <c r="Z205" s="15">
        <v>0</v>
      </c>
      <c r="AA205" s="11">
        <v>-71.9683517037913</v>
      </c>
      <c r="AB205" s="11">
        <v>14.6036543246757</v>
      </c>
      <c r="AC205" s="15">
        <v>1</v>
      </c>
      <c r="AD205" s="15">
        <v>1</v>
      </c>
      <c r="AE205" s="11">
        <v>9.50388873174398</v>
      </c>
      <c r="AF205" s="11">
        <v>9.99243266666667</v>
      </c>
      <c r="AG205" s="15">
        <v>1</v>
      </c>
      <c r="AH205" s="19">
        <v>10</v>
      </c>
      <c r="AI205" s="19">
        <v>10</v>
      </c>
      <c r="AJ205" s="19">
        <v>0</v>
      </c>
      <c r="AK205" s="15">
        <v>0</v>
      </c>
      <c r="AL205" s="11">
        <v>4.69293235195399</v>
      </c>
      <c r="AM205" s="11">
        <v>4.930755</v>
      </c>
      <c r="AN205" s="15">
        <v>1</v>
      </c>
      <c r="AO205" s="19">
        <v>11</v>
      </c>
      <c r="AP205" s="19">
        <v>11</v>
      </c>
      <c r="AQ205" s="19">
        <v>0</v>
      </c>
      <c r="AR205" s="15">
        <v>0</v>
      </c>
    </row>
    <row r="206" spans="1:44">
      <c r="A206" s="3" t="s">
        <v>44</v>
      </c>
      <c r="B206" s="3" t="s">
        <v>48</v>
      </c>
      <c r="C206" s="4" t="s">
        <v>49</v>
      </c>
      <c r="D206" s="5" t="s">
        <v>50</v>
      </c>
      <c r="E206" s="29">
        <v>2</v>
      </c>
      <c r="F206" s="10">
        <v>5.92</v>
      </c>
      <c r="G206" s="10">
        <v>0.754</v>
      </c>
      <c r="H206" s="10">
        <v>7.85145888594164</v>
      </c>
      <c r="I206" s="10">
        <v>-71.785433471511</v>
      </c>
      <c r="J206" s="10">
        <v>15.6676750386085</v>
      </c>
      <c r="K206" s="14">
        <v>0.993578801918231</v>
      </c>
      <c r="L206" s="14">
        <v>0.994066487848492</v>
      </c>
      <c r="M206" s="10">
        <v>9.40887050359712</v>
      </c>
      <c r="N206" s="10">
        <v>9.916</v>
      </c>
      <c r="O206" s="14">
        <v>1</v>
      </c>
      <c r="P206" s="18">
        <v>32</v>
      </c>
      <c r="Q206" s="18">
        <v>32</v>
      </c>
      <c r="R206" s="18">
        <v>0</v>
      </c>
      <c r="S206" s="14">
        <v>0</v>
      </c>
      <c r="T206" s="10">
        <v>4.76225208333333</v>
      </c>
      <c r="U206" s="10">
        <v>5.836</v>
      </c>
      <c r="V206" s="14">
        <v>0.997916666666667</v>
      </c>
      <c r="W206" s="18">
        <v>32</v>
      </c>
      <c r="X206" s="18">
        <v>32</v>
      </c>
      <c r="Y206" s="18">
        <v>0</v>
      </c>
      <c r="Z206" s="14">
        <v>0</v>
      </c>
      <c r="AA206" s="10">
        <v>-72.6323882681564</v>
      </c>
      <c r="AB206" s="10">
        <v>15.4798212290503</v>
      </c>
      <c r="AC206" s="14">
        <v>0.994413407821229</v>
      </c>
      <c r="AD206" s="14">
        <v>0.997206703910614</v>
      </c>
      <c r="AE206" s="10">
        <v>9.28948461538462</v>
      </c>
      <c r="AF206" s="10">
        <v>9.875</v>
      </c>
      <c r="AG206" s="14">
        <v>1</v>
      </c>
      <c r="AH206" s="18">
        <v>32</v>
      </c>
      <c r="AI206" s="18">
        <v>32</v>
      </c>
      <c r="AJ206" s="18">
        <v>0</v>
      </c>
      <c r="AK206" s="14">
        <v>0</v>
      </c>
      <c r="AL206" s="10">
        <v>4.749875</v>
      </c>
      <c r="AM206" s="10">
        <v>5.303</v>
      </c>
      <c r="AN206" s="14">
        <v>1</v>
      </c>
      <c r="AO206" s="18">
        <v>32</v>
      </c>
      <c r="AP206" s="18">
        <v>32</v>
      </c>
      <c r="AQ206" s="18">
        <v>0</v>
      </c>
      <c r="AR206" s="14">
        <v>0</v>
      </c>
    </row>
    <row r="207" spans="1:44">
      <c r="A207" s="3" t="s">
        <v>44</v>
      </c>
      <c r="B207" s="3" t="s">
        <v>56</v>
      </c>
      <c r="C207" s="4" t="s">
        <v>46</v>
      </c>
      <c r="D207" s="5" t="s">
        <v>57</v>
      </c>
      <c r="E207" s="29">
        <v>1</v>
      </c>
      <c r="F207" s="10"/>
      <c r="G207" s="10">
        <v>0.244</v>
      </c>
      <c r="H207" s="10"/>
      <c r="I207" s="10">
        <v>-71.7578412844037</v>
      </c>
      <c r="J207" s="10">
        <v>11.795321559633</v>
      </c>
      <c r="K207" s="14">
        <v>0.999770642201835</v>
      </c>
      <c r="L207" s="14">
        <v>0.999770642201835</v>
      </c>
      <c r="M207" s="10">
        <v>7.27875163398693</v>
      </c>
      <c r="N207" s="10">
        <v>7.687</v>
      </c>
      <c r="O207" s="14">
        <v>0.993464052287582</v>
      </c>
      <c r="P207" s="18">
        <v>10</v>
      </c>
      <c r="Q207" s="18">
        <v>10</v>
      </c>
      <c r="R207" s="18">
        <v>0</v>
      </c>
      <c r="S207" s="14">
        <v>0</v>
      </c>
      <c r="T207" s="10">
        <v>3.89078260869565</v>
      </c>
      <c r="U207" s="10">
        <v>5.374</v>
      </c>
      <c r="V207" s="14">
        <v>0.996655518394649</v>
      </c>
      <c r="W207" s="18">
        <v>10</v>
      </c>
      <c r="X207" s="18">
        <v>10</v>
      </c>
      <c r="Y207" s="18">
        <v>0</v>
      </c>
      <c r="Z207" s="14">
        <v>0</v>
      </c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</row>
    <row r="208" spans="1:44">
      <c r="A208" s="3" t="s">
        <v>51</v>
      </c>
      <c r="B208" s="6" t="s">
        <v>55</v>
      </c>
      <c r="C208" s="6" t="s">
        <v>49</v>
      </c>
      <c r="D208" s="6" t="s">
        <v>61</v>
      </c>
      <c r="E208" s="32">
        <v>2</v>
      </c>
      <c r="F208" s="11">
        <v>2.15796139836311</v>
      </c>
      <c r="G208" s="11">
        <v>0.457216666666667</v>
      </c>
      <c r="H208" s="11">
        <v>4.71977851134717</v>
      </c>
      <c r="I208" s="11">
        <v>-71.7260871160374</v>
      </c>
      <c r="J208" s="11">
        <v>14.0583889623271</v>
      </c>
      <c r="K208" s="15">
        <v>0.977199901404979</v>
      </c>
      <c r="L208" s="15">
        <v>0.977199901404979</v>
      </c>
      <c r="M208" s="11">
        <v>9.51490411944445</v>
      </c>
      <c r="N208" s="11">
        <v>10.9627</v>
      </c>
      <c r="O208" s="15">
        <v>0.991666666666667</v>
      </c>
      <c r="P208" s="19">
        <v>12</v>
      </c>
      <c r="Q208" s="19">
        <v>12</v>
      </c>
      <c r="R208" s="19">
        <v>0</v>
      </c>
      <c r="S208" s="15">
        <v>0</v>
      </c>
      <c r="T208" s="11">
        <v>4.63724790756303</v>
      </c>
      <c r="U208" s="11">
        <v>5.78894</v>
      </c>
      <c r="V208" s="15">
        <v>0.997198879551821</v>
      </c>
      <c r="W208" s="19">
        <v>12</v>
      </c>
      <c r="X208" s="19">
        <v>12</v>
      </c>
      <c r="Y208" s="19">
        <v>0</v>
      </c>
      <c r="Z208" s="15">
        <v>0</v>
      </c>
      <c r="AA208" s="11">
        <v>-72.2713257041392</v>
      </c>
      <c r="AB208" s="11">
        <v>13.5747263592867</v>
      </c>
      <c r="AC208" s="15">
        <v>1</v>
      </c>
      <c r="AD208" s="15">
        <v>1</v>
      </c>
      <c r="AE208" s="11">
        <v>9.49570490260625</v>
      </c>
      <c r="AF208" s="11">
        <v>10.058421</v>
      </c>
      <c r="AG208" s="15">
        <v>1</v>
      </c>
      <c r="AH208" s="19">
        <v>12</v>
      </c>
      <c r="AI208" s="19">
        <v>12</v>
      </c>
      <c r="AJ208" s="19">
        <v>0</v>
      </c>
      <c r="AK208" s="15">
        <v>0</v>
      </c>
      <c r="AL208" s="11">
        <v>4.67885203519542</v>
      </c>
      <c r="AM208" s="11">
        <v>4.95269683333333</v>
      </c>
      <c r="AN208" s="15">
        <v>1</v>
      </c>
      <c r="AO208" s="19">
        <v>12</v>
      </c>
      <c r="AP208" s="19">
        <v>12</v>
      </c>
      <c r="AQ208" s="19">
        <v>0</v>
      </c>
      <c r="AR208" s="15">
        <v>0</v>
      </c>
    </row>
    <row r="209" spans="1:44">
      <c r="A209" s="3" t="s">
        <v>44</v>
      </c>
      <c r="B209" s="3" t="s">
        <v>59</v>
      </c>
      <c r="C209" s="4" t="s">
        <v>49</v>
      </c>
      <c r="D209" s="5" t="s">
        <v>50</v>
      </c>
      <c r="E209" s="29">
        <v>1</v>
      </c>
      <c r="F209" s="10">
        <v>2.422</v>
      </c>
      <c r="G209" s="10">
        <v>0.63</v>
      </c>
      <c r="H209" s="10">
        <v>3.84444444444444</v>
      </c>
      <c r="I209" s="10">
        <v>-71.6466727143365</v>
      </c>
      <c r="J209" s="10">
        <v>12.2792655638563</v>
      </c>
      <c r="K209" s="14">
        <v>0.976254002134472</v>
      </c>
      <c r="L209" s="14">
        <v>0.976254002134472</v>
      </c>
      <c r="M209" s="10">
        <v>8.2396743902439</v>
      </c>
      <c r="N209" s="10">
        <v>9.198</v>
      </c>
      <c r="O209" s="14">
        <v>0.995121951219512</v>
      </c>
      <c r="P209" s="18">
        <v>27</v>
      </c>
      <c r="Q209" s="18">
        <v>27</v>
      </c>
      <c r="R209" s="18">
        <v>0</v>
      </c>
      <c r="S209" s="14">
        <v>0</v>
      </c>
      <c r="T209" s="10">
        <v>4.78410526315789</v>
      </c>
      <c r="U209" s="10">
        <v>5.828</v>
      </c>
      <c r="V209" s="14">
        <v>0.997432605905006</v>
      </c>
      <c r="W209" s="18">
        <v>26</v>
      </c>
      <c r="X209" s="18">
        <v>26</v>
      </c>
      <c r="Y209" s="18">
        <v>0</v>
      </c>
      <c r="Z209" s="14">
        <v>0</v>
      </c>
      <c r="AA209" s="10">
        <v>-72.367838150289</v>
      </c>
      <c r="AB209" s="10">
        <v>12.2181849710983</v>
      </c>
      <c r="AC209" s="14">
        <v>0.982658959537572</v>
      </c>
      <c r="AD209" s="14">
        <v>0.982658959537572</v>
      </c>
      <c r="AE209" s="10">
        <v>8.18602941176471</v>
      </c>
      <c r="AF209" s="10">
        <v>9.024</v>
      </c>
      <c r="AG209" s="14">
        <v>1</v>
      </c>
      <c r="AH209" s="18">
        <v>27</v>
      </c>
      <c r="AI209" s="18">
        <v>27</v>
      </c>
      <c r="AJ209" s="18">
        <v>0</v>
      </c>
      <c r="AK209" s="14">
        <v>0</v>
      </c>
      <c r="AL209" s="10">
        <v>4.87741538461538</v>
      </c>
      <c r="AM209" s="10">
        <v>5.424</v>
      </c>
      <c r="AN209" s="14">
        <v>1</v>
      </c>
      <c r="AO209" s="18">
        <v>26</v>
      </c>
      <c r="AP209" s="18">
        <v>26</v>
      </c>
      <c r="AQ209" s="18">
        <v>0</v>
      </c>
      <c r="AR209" s="14">
        <v>0</v>
      </c>
    </row>
    <row r="210" spans="1:44">
      <c r="A210" s="3" t="s">
        <v>51</v>
      </c>
      <c r="B210" s="6" t="s">
        <v>55</v>
      </c>
      <c r="C210" s="6" t="s">
        <v>49</v>
      </c>
      <c r="D210" s="6" t="s">
        <v>61</v>
      </c>
      <c r="E210" s="32">
        <v>3</v>
      </c>
      <c r="F210" s="11">
        <v>2.15796139836311</v>
      </c>
      <c r="G210" s="11">
        <v>0.457388888888889</v>
      </c>
      <c r="H210" s="11">
        <v>4.7180013568002</v>
      </c>
      <c r="I210" s="11">
        <v>-71.4656983594406</v>
      </c>
      <c r="J210" s="11">
        <v>13.5219576111739</v>
      </c>
      <c r="K210" s="15">
        <v>0.96069066862601</v>
      </c>
      <c r="L210" s="15">
        <v>0.96069066862601</v>
      </c>
      <c r="M210" s="11">
        <v>8.08666099444445</v>
      </c>
      <c r="N210" s="11">
        <v>10.1883</v>
      </c>
      <c r="O210" s="15">
        <v>0.958333333333333</v>
      </c>
      <c r="P210" s="19">
        <v>12</v>
      </c>
      <c r="Q210" s="19">
        <v>12</v>
      </c>
      <c r="R210" s="19">
        <v>0</v>
      </c>
      <c r="S210" s="15">
        <v>0</v>
      </c>
      <c r="T210" s="11">
        <v>4.65536216388889</v>
      </c>
      <c r="U210" s="11">
        <v>5.76</v>
      </c>
      <c r="V210" s="15">
        <v>1</v>
      </c>
      <c r="W210" s="19">
        <v>12</v>
      </c>
      <c r="X210" s="19">
        <v>12</v>
      </c>
      <c r="Y210" s="19">
        <v>0</v>
      </c>
      <c r="Z210" s="15">
        <v>0</v>
      </c>
      <c r="AA210" s="11">
        <v>-72.7117722491794</v>
      </c>
      <c r="AB210" s="11">
        <v>12.445321393392</v>
      </c>
      <c r="AC210" s="15">
        <v>0.97</v>
      </c>
      <c r="AD210" s="15">
        <v>0.97</v>
      </c>
      <c r="AE210" s="11">
        <v>8.10174792035363</v>
      </c>
      <c r="AF210" s="11">
        <v>10.0004952</v>
      </c>
      <c r="AG210" s="15">
        <v>1</v>
      </c>
      <c r="AH210" s="19">
        <v>12</v>
      </c>
      <c r="AI210" s="19">
        <v>12</v>
      </c>
      <c r="AJ210" s="19">
        <v>0</v>
      </c>
      <c r="AK210" s="15">
        <v>0</v>
      </c>
      <c r="AL210" s="11">
        <v>4.67011273681247</v>
      </c>
      <c r="AM210" s="11">
        <v>4.88778525</v>
      </c>
      <c r="AN210" s="15">
        <v>1</v>
      </c>
      <c r="AO210" s="19">
        <v>12</v>
      </c>
      <c r="AP210" s="19">
        <v>12</v>
      </c>
      <c r="AQ210" s="19">
        <v>0</v>
      </c>
      <c r="AR210" s="15">
        <v>0</v>
      </c>
    </row>
    <row r="211" spans="1:44">
      <c r="A211" s="3" t="s">
        <v>44</v>
      </c>
      <c r="B211" s="3" t="s">
        <v>59</v>
      </c>
      <c r="C211" s="4" t="s">
        <v>46</v>
      </c>
      <c r="D211" s="5" t="s">
        <v>57</v>
      </c>
      <c r="E211" s="29">
        <v>1</v>
      </c>
      <c r="F211" s="10"/>
      <c r="G211" s="10">
        <v>0.237</v>
      </c>
      <c r="H211" s="10"/>
      <c r="I211" s="10">
        <v>-71.4260888784387</v>
      </c>
      <c r="J211" s="10">
        <v>21.3633794968258</v>
      </c>
      <c r="K211" s="14">
        <v>1</v>
      </c>
      <c r="L211" s="14">
        <v>1</v>
      </c>
      <c r="M211" s="10">
        <v>8.1951606557377</v>
      </c>
      <c r="N211" s="10">
        <v>8.483</v>
      </c>
      <c r="O211" s="14">
        <v>0.99344262295082</v>
      </c>
      <c r="P211" s="18">
        <v>10</v>
      </c>
      <c r="Q211" s="18">
        <v>10</v>
      </c>
      <c r="R211" s="18">
        <v>0</v>
      </c>
      <c r="S211" s="14">
        <v>0</v>
      </c>
      <c r="T211" s="10">
        <v>5.08662</v>
      </c>
      <c r="U211" s="10">
        <v>6.156</v>
      </c>
      <c r="V211" s="14">
        <v>1</v>
      </c>
      <c r="W211" s="18">
        <v>10</v>
      </c>
      <c r="X211" s="18">
        <v>10</v>
      </c>
      <c r="Y211" s="18">
        <v>0</v>
      </c>
      <c r="Z211" s="14">
        <v>0</v>
      </c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</row>
    <row r="212" spans="1:44">
      <c r="A212" s="3" t="s">
        <v>44</v>
      </c>
      <c r="B212" s="3" t="s">
        <v>48</v>
      </c>
      <c r="C212" s="4" t="s">
        <v>46</v>
      </c>
      <c r="D212" s="5" t="s">
        <v>53</v>
      </c>
      <c r="E212" s="29">
        <v>3</v>
      </c>
      <c r="F212" s="10"/>
      <c r="G212" s="10">
        <v>0.238</v>
      </c>
      <c r="H212" s="10"/>
      <c r="I212" s="10">
        <v>-71.4201867532468</v>
      </c>
      <c r="J212" s="10">
        <v>24.7486220779221</v>
      </c>
      <c r="K212" s="14">
        <v>1</v>
      </c>
      <c r="L212" s="14">
        <v>1</v>
      </c>
      <c r="M212" s="10">
        <v>9.61703618421053</v>
      </c>
      <c r="N212" s="10">
        <v>9.933</v>
      </c>
      <c r="O212" s="14">
        <v>1</v>
      </c>
      <c r="P212" s="18">
        <v>10</v>
      </c>
      <c r="Q212" s="18">
        <v>10</v>
      </c>
      <c r="R212" s="18">
        <v>0</v>
      </c>
      <c r="S212" s="14">
        <v>0</v>
      </c>
      <c r="T212" s="10">
        <v>4.48800996677741</v>
      </c>
      <c r="U212" s="10">
        <v>5.858</v>
      </c>
      <c r="V212" s="14">
        <v>0.996677740863787</v>
      </c>
      <c r="W212" s="18">
        <v>10</v>
      </c>
      <c r="X212" s="18">
        <v>10</v>
      </c>
      <c r="Y212" s="18">
        <v>0</v>
      </c>
      <c r="Z212" s="14">
        <v>0</v>
      </c>
      <c r="AA212" s="10"/>
      <c r="AB212" s="10"/>
      <c r="AC212" s="14"/>
      <c r="AD212" s="14"/>
      <c r="AE212" s="10"/>
      <c r="AF212" s="10"/>
      <c r="AG212" s="14"/>
      <c r="AH212" s="18"/>
      <c r="AI212" s="18"/>
      <c r="AJ212" s="18"/>
      <c r="AK212" s="14"/>
      <c r="AL212" s="10"/>
      <c r="AM212" s="10"/>
      <c r="AN212" s="14"/>
      <c r="AO212" s="18"/>
      <c r="AP212" s="18"/>
      <c r="AQ212" s="18"/>
      <c r="AR212" s="14"/>
    </row>
    <row r="213" spans="1:44">
      <c r="A213" s="3" t="s">
        <v>51</v>
      </c>
      <c r="B213" s="6" t="s">
        <v>52</v>
      </c>
      <c r="C213" s="4" t="s">
        <v>49</v>
      </c>
      <c r="D213" s="4" t="s">
        <v>64</v>
      </c>
      <c r="E213" s="30">
        <v>1</v>
      </c>
      <c r="F213" s="11">
        <v>204.690884276748</v>
      </c>
      <c r="G213" s="11">
        <v>9.33613972222222</v>
      </c>
      <c r="H213" s="11">
        <v>21.9245737924782</v>
      </c>
      <c r="I213" s="11">
        <v>-71.3733061032859</v>
      </c>
      <c r="J213" s="11">
        <v>13.3925439002164</v>
      </c>
      <c r="K213" s="15">
        <v>0.989482533493123</v>
      </c>
      <c r="L213" s="15">
        <v>0.989667364253731</v>
      </c>
      <c r="M213" s="11">
        <v>8.46859247067877</v>
      </c>
      <c r="N213" s="11">
        <v>9.89946</v>
      </c>
      <c r="O213" s="15">
        <v>0.997999076496845</v>
      </c>
      <c r="P213" s="19">
        <v>217</v>
      </c>
      <c r="Q213" s="19">
        <v>217</v>
      </c>
      <c r="R213" s="19">
        <v>0</v>
      </c>
      <c r="S213" s="15">
        <v>0</v>
      </c>
      <c r="T213" s="11">
        <v>4.22939374228536</v>
      </c>
      <c r="U213" s="11">
        <v>5.76577</v>
      </c>
      <c r="V213" s="15">
        <v>0.992514512679499</v>
      </c>
      <c r="W213" s="19">
        <v>219</v>
      </c>
      <c r="X213" s="19">
        <v>219</v>
      </c>
      <c r="Y213" s="19">
        <v>0</v>
      </c>
      <c r="Z213" s="15">
        <v>0</v>
      </c>
      <c r="AA213" s="11">
        <v>-72.0251670574874</v>
      </c>
      <c r="AB213" s="11">
        <v>12.9633810752413</v>
      </c>
      <c r="AC213" s="15">
        <v>0.991941054570573</v>
      </c>
      <c r="AD213" s="15">
        <v>0.99228643794612</v>
      </c>
      <c r="AE213" s="11">
        <v>8.20380496528177</v>
      </c>
      <c r="AF213" s="11">
        <v>9.7143785</v>
      </c>
      <c r="AG213" s="15">
        <v>0.997287032013022</v>
      </c>
      <c r="AH213" s="19">
        <v>217</v>
      </c>
      <c r="AI213" s="19">
        <v>217</v>
      </c>
      <c r="AJ213" s="19">
        <v>0</v>
      </c>
      <c r="AK213" s="15">
        <v>0</v>
      </c>
      <c r="AL213" s="11">
        <v>4.13829762413618</v>
      </c>
      <c r="AM213" s="11">
        <v>5.133154</v>
      </c>
      <c r="AN213" s="15">
        <v>0.995227995758218</v>
      </c>
      <c r="AO213" s="19">
        <v>219</v>
      </c>
      <c r="AP213" s="19">
        <v>219</v>
      </c>
      <c r="AQ213" s="19">
        <v>0</v>
      </c>
      <c r="AR213" s="15">
        <v>0</v>
      </c>
    </row>
    <row r="214" spans="1:44">
      <c r="A214" s="3" t="s">
        <v>44</v>
      </c>
      <c r="B214" s="3" t="s">
        <v>56</v>
      </c>
      <c r="C214" s="4" t="s">
        <v>49</v>
      </c>
      <c r="D214" s="5" t="s">
        <v>61</v>
      </c>
      <c r="E214" s="29">
        <v>1</v>
      </c>
      <c r="F214" s="10">
        <v>2.862</v>
      </c>
      <c r="G214" s="10">
        <v>0.653</v>
      </c>
      <c r="H214" s="10">
        <v>4.38284839203675</v>
      </c>
      <c r="I214" s="10">
        <v>-71.1062428283183</v>
      </c>
      <c r="J214" s="10">
        <v>7.51382594964471</v>
      </c>
      <c r="K214" s="14">
        <v>0.95280287744539</v>
      </c>
      <c r="L214" s="14">
        <v>0.95280287744539</v>
      </c>
      <c r="M214" s="10">
        <v>5.51209239766082</v>
      </c>
      <c r="N214" s="10">
        <v>7.474</v>
      </c>
      <c r="O214" s="14">
        <v>0.880701754385965</v>
      </c>
      <c r="P214" s="18">
        <v>28</v>
      </c>
      <c r="Q214" s="18">
        <v>28</v>
      </c>
      <c r="R214" s="18">
        <v>0</v>
      </c>
      <c r="S214" s="14">
        <v>0</v>
      </c>
      <c r="T214" s="10">
        <v>4.08037068965517</v>
      </c>
      <c r="U214" s="10">
        <v>5.573</v>
      </c>
      <c r="V214" s="14">
        <v>0.969211822660099</v>
      </c>
      <c r="W214" s="18">
        <v>27</v>
      </c>
      <c r="X214" s="18">
        <v>27</v>
      </c>
      <c r="Y214" s="18">
        <v>0</v>
      </c>
      <c r="Z214" s="14">
        <v>0</v>
      </c>
      <c r="AA214" s="10">
        <v>-70.6802681564246</v>
      </c>
      <c r="AB214" s="10">
        <v>7.64486033519553</v>
      </c>
      <c r="AC214" s="14">
        <v>0.988826815642458</v>
      </c>
      <c r="AD214" s="14">
        <v>0.988826815642458</v>
      </c>
      <c r="AE214" s="10">
        <v>5.62559090909091</v>
      </c>
      <c r="AF214" s="10">
        <v>7.1809998</v>
      </c>
      <c r="AG214" s="14">
        <v>0.924242424242424</v>
      </c>
      <c r="AH214" s="18">
        <v>28</v>
      </c>
      <c r="AI214" s="18">
        <v>28</v>
      </c>
      <c r="AJ214" s="18">
        <v>0</v>
      </c>
      <c r="AK214" s="14">
        <v>0</v>
      </c>
      <c r="AL214" s="10">
        <v>4.0993670886076</v>
      </c>
      <c r="AM214" s="10">
        <v>4.7530003</v>
      </c>
      <c r="AN214" s="14">
        <v>1</v>
      </c>
      <c r="AO214" s="18">
        <v>27</v>
      </c>
      <c r="AP214" s="18">
        <v>27</v>
      </c>
      <c r="AQ214" s="18">
        <v>0</v>
      </c>
      <c r="AR214" s="14">
        <v>0</v>
      </c>
    </row>
    <row r="215" spans="1:44">
      <c r="A215" s="3" t="s">
        <v>44</v>
      </c>
      <c r="B215" s="3" t="s">
        <v>59</v>
      </c>
      <c r="C215" s="4" t="s">
        <v>49</v>
      </c>
      <c r="D215" s="5" t="s">
        <v>50</v>
      </c>
      <c r="E215" s="29">
        <v>3</v>
      </c>
      <c r="F215" s="10">
        <v>2.717</v>
      </c>
      <c r="G215" s="10">
        <v>0.608</v>
      </c>
      <c r="H215" s="10">
        <v>4.46875</v>
      </c>
      <c r="I215" s="10">
        <v>-71.0186518490132</v>
      </c>
      <c r="J215" s="10">
        <v>6.94795008622341</v>
      </c>
      <c r="K215" s="14">
        <v>0.948170147537842</v>
      </c>
      <c r="L215" s="14">
        <v>0.948170147537842</v>
      </c>
      <c r="M215" s="10">
        <v>6.83796592398427</v>
      </c>
      <c r="N215" s="10">
        <v>9.6</v>
      </c>
      <c r="O215" s="14">
        <v>0.783748361730013</v>
      </c>
      <c r="P215" s="18">
        <v>25</v>
      </c>
      <c r="Q215" s="18">
        <v>25</v>
      </c>
      <c r="R215" s="18">
        <v>0</v>
      </c>
      <c r="S215" s="14">
        <v>0</v>
      </c>
      <c r="T215" s="10">
        <v>4.77352888318357</v>
      </c>
      <c r="U215" s="10">
        <v>5.887</v>
      </c>
      <c r="V215" s="14">
        <v>0.998716302952503</v>
      </c>
      <c r="W215" s="18">
        <v>26</v>
      </c>
      <c r="X215" s="18">
        <v>26</v>
      </c>
      <c r="Y215" s="18">
        <v>0</v>
      </c>
      <c r="Z215" s="14">
        <v>0</v>
      </c>
      <c r="AA215" s="10">
        <v>-71.2098604651163</v>
      </c>
      <c r="AB215" s="10">
        <v>6.74043604651163</v>
      </c>
      <c r="AC215" s="14">
        <v>0.994186046511628</v>
      </c>
      <c r="AD215" s="14">
        <v>0.994186046511628</v>
      </c>
      <c r="AE215" s="10">
        <v>6.67585714285714</v>
      </c>
      <c r="AF215" s="10">
        <v>8.996</v>
      </c>
      <c r="AG215" s="14">
        <v>0.80952380952381</v>
      </c>
      <c r="AH215" s="18">
        <v>25</v>
      </c>
      <c r="AI215" s="18">
        <v>25</v>
      </c>
      <c r="AJ215" s="18">
        <v>0</v>
      </c>
      <c r="AK215" s="14">
        <v>0</v>
      </c>
      <c r="AL215" s="10">
        <v>4.8860641025641</v>
      </c>
      <c r="AM215" s="10">
        <v>5.243</v>
      </c>
      <c r="AN215" s="14">
        <v>1</v>
      </c>
      <c r="AO215" s="18">
        <v>26</v>
      </c>
      <c r="AP215" s="18">
        <v>26</v>
      </c>
      <c r="AQ215" s="18">
        <v>0</v>
      </c>
      <c r="AR215" s="14">
        <v>0</v>
      </c>
    </row>
    <row r="216" spans="1:44">
      <c r="A216" s="3" t="s">
        <v>51</v>
      </c>
      <c r="B216" s="4" t="s">
        <v>58</v>
      </c>
      <c r="C216" s="6" t="s">
        <v>49</v>
      </c>
      <c r="D216" s="6" t="s">
        <v>50</v>
      </c>
      <c r="E216" s="30">
        <v>1</v>
      </c>
      <c r="F216" s="11">
        <v>5.07167007052898</v>
      </c>
      <c r="G216" s="11">
        <v>0.58495</v>
      </c>
      <c r="H216" s="11">
        <v>8.67026253616375</v>
      </c>
      <c r="I216" s="11">
        <v>-70.8837871264229</v>
      </c>
      <c r="J216" s="11">
        <v>11.8222380987689</v>
      </c>
      <c r="K216" s="15">
        <v>0.956053384175405</v>
      </c>
      <c r="L216" s="15">
        <v>0.956053384175405</v>
      </c>
      <c r="M216" s="11">
        <v>6.89203863095238</v>
      </c>
      <c r="N216" s="11">
        <v>8.33249</v>
      </c>
      <c r="O216" s="15">
        <v>0.933333333333333</v>
      </c>
      <c r="P216" s="19">
        <v>14</v>
      </c>
      <c r="Q216" s="19">
        <v>14</v>
      </c>
      <c r="R216" s="19">
        <v>0</v>
      </c>
      <c r="S216" s="15">
        <v>0</v>
      </c>
      <c r="T216" s="11">
        <v>3.92066857623318</v>
      </c>
      <c r="U216" s="11">
        <v>5.73134</v>
      </c>
      <c r="V216" s="15">
        <v>0.930493273542601</v>
      </c>
      <c r="W216" s="19">
        <v>15</v>
      </c>
      <c r="X216" s="19">
        <v>15</v>
      </c>
      <c r="Y216" s="19">
        <v>0</v>
      </c>
      <c r="Z216" s="15">
        <v>0</v>
      </c>
      <c r="AA216" s="11">
        <v>-68.061539952519</v>
      </c>
      <c r="AB216" s="11">
        <v>12.472679458993</v>
      </c>
      <c r="AC216" s="15">
        <v>0.986725663716814</v>
      </c>
      <c r="AD216" s="15">
        <v>0.986725663716814</v>
      </c>
      <c r="AE216" s="11">
        <v>7.16456950724902</v>
      </c>
      <c r="AF216" s="11">
        <v>8.22365</v>
      </c>
      <c r="AG216" s="15">
        <v>0.985294117647059</v>
      </c>
      <c r="AH216" s="19">
        <v>14</v>
      </c>
      <c r="AI216" s="19">
        <v>14</v>
      </c>
      <c r="AJ216" s="19">
        <v>0</v>
      </c>
      <c r="AK216" s="15">
        <v>0</v>
      </c>
      <c r="AL216" s="11">
        <v>4.09092316414628</v>
      </c>
      <c r="AM216" s="11">
        <v>4.72494283333333</v>
      </c>
      <c r="AN216" s="15">
        <v>0.96</v>
      </c>
      <c r="AO216" s="19">
        <v>15</v>
      </c>
      <c r="AP216" s="19">
        <v>15</v>
      </c>
      <c r="AQ216" s="19">
        <v>0</v>
      </c>
      <c r="AR216" s="15">
        <v>0</v>
      </c>
    </row>
    <row r="217" spans="1:44">
      <c r="A217" s="3" t="s">
        <v>51</v>
      </c>
      <c r="B217" s="4" t="s">
        <v>58</v>
      </c>
      <c r="C217" s="6" t="s">
        <v>49</v>
      </c>
      <c r="D217" s="6" t="s">
        <v>50</v>
      </c>
      <c r="E217" s="30">
        <v>3</v>
      </c>
      <c r="F217" s="11">
        <v>5.40014562910795</v>
      </c>
      <c r="G217" s="11">
        <v>0.645036111111111</v>
      </c>
      <c r="H217" s="11">
        <v>8.37185009658746</v>
      </c>
      <c r="I217" s="11">
        <v>-70.691659512021</v>
      </c>
      <c r="J217" s="11">
        <v>5.11058590070201</v>
      </c>
      <c r="K217" s="15">
        <v>0.896854362182829</v>
      </c>
      <c r="L217" s="15">
        <v>0.896854362182829</v>
      </c>
      <c r="M217" s="11">
        <v>6.52226857291667</v>
      </c>
      <c r="N217" s="11">
        <v>9.60724</v>
      </c>
      <c r="O217" s="15">
        <v>0.920833333333333</v>
      </c>
      <c r="P217" s="19">
        <v>17</v>
      </c>
      <c r="Q217" s="19">
        <v>16</v>
      </c>
      <c r="R217" s="19">
        <v>0</v>
      </c>
      <c r="S217" s="15">
        <v>0</v>
      </c>
      <c r="T217" s="11">
        <v>4.2720742372549</v>
      </c>
      <c r="U217" s="11">
        <v>5.75425</v>
      </c>
      <c r="V217" s="15">
        <v>1</v>
      </c>
      <c r="W217" s="19">
        <v>17</v>
      </c>
      <c r="X217" s="19">
        <v>17</v>
      </c>
      <c r="Y217" s="19">
        <v>0</v>
      </c>
      <c r="Z217" s="15">
        <v>0</v>
      </c>
      <c r="AA217" s="11">
        <v>-71.463461370131</v>
      </c>
      <c r="AB217" s="11">
        <v>4.98064034994548</v>
      </c>
      <c r="AC217" s="15">
        <v>0.910714285714286</v>
      </c>
      <c r="AD217" s="15">
        <v>0.910714285714286</v>
      </c>
      <c r="AE217" s="11">
        <v>6.48540410316346</v>
      </c>
      <c r="AF217" s="11">
        <v>9.06377328571429</v>
      </c>
      <c r="AG217" s="15">
        <v>0.947368421052632</v>
      </c>
      <c r="AH217" s="19">
        <v>17</v>
      </c>
      <c r="AI217" s="19">
        <v>16</v>
      </c>
      <c r="AJ217" s="19">
        <v>0</v>
      </c>
      <c r="AK217" s="15">
        <v>0</v>
      </c>
      <c r="AL217" s="11">
        <v>4.23990123638584</v>
      </c>
      <c r="AM217" s="11">
        <v>4.878276625</v>
      </c>
      <c r="AN217" s="15">
        <v>1</v>
      </c>
      <c r="AO217" s="19">
        <v>17</v>
      </c>
      <c r="AP217" s="19">
        <v>17</v>
      </c>
      <c r="AQ217" s="19">
        <v>0</v>
      </c>
      <c r="AR217" s="15">
        <v>0</v>
      </c>
    </row>
    <row r="218" spans="1:44">
      <c r="A218" s="3" t="s">
        <v>51</v>
      </c>
      <c r="B218" s="6" t="s">
        <v>55</v>
      </c>
      <c r="C218" s="6" t="s">
        <v>46</v>
      </c>
      <c r="D218" s="6" t="s">
        <v>47</v>
      </c>
      <c r="E218" s="32">
        <v>3</v>
      </c>
      <c r="F218" s="12" t="s">
        <v>54</v>
      </c>
      <c r="G218" s="12">
        <v>0.395141666666667</v>
      </c>
      <c r="H218" s="12" t="s">
        <v>54</v>
      </c>
      <c r="I218" s="12">
        <v>-70.6322413855539</v>
      </c>
      <c r="J218" s="12">
        <v>6.64431097629467</v>
      </c>
      <c r="K218" s="16">
        <v>1</v>
      </c>
      <c r="L218" s="16">
        <v>1</v>
      </c>
      <c r="M218" s="12">
        <v>6.48718044</v>
      </c>
      <c r="N218" s="12">
        <v>8.86639</v>
      </c>
      <c r="O218" s="16">
        <v>0.996666666666667</v>
      </c>
      <c r="P218" s="20">
        <v>10</v>
      </c>
      <c r="Q218" s="20">
        <v>10</v>
      </c>
      <c r="R218" s="20">
        <v>0</v>
      </c>
      <c r="S218" s="16">
        <v>0</v>
      </c>
      <c r="T218" s="12">
        <v>4.46760001</v>
      </c>
      <c r="U218" s="12">
        <v>5.41294</v>
      </c>
      <c r="V218" s="16">
        <v>1</v>
      </c>
      <c r="W218" s="20">
        <v>10</v>
      </c>
      <c r="X218" s="20">
        <v>10</v>
      </c>
      <c r="Y218" s="20">
        <v>0</v>
      </c>
      <c r="Z218" s="16">
        <v>0</v>
      </c>
      <c r="AA218" s="12"/>
      <c r="AB218" s="12"/>
      <c r="AC218" s="16"/>
      <c r="AD218" s="16"/>
      <c r="AE218" s="12"/>
      <c r="AF218" s="12"/>
      <c r="AG218" s="16"/>
      <c r="AH218" s="20"/>
      <c r="AI218" s="20"/>
      <c r="AJ218" s="20"/>
      <c r="AK218" s="16"/>
      <c r="AL218" s="12"/>
      <c r="AM218" s="12"/>
      <c r="AN218" s="16"/>
      <c r="AO218" s="20"/>
      <c r="AP218" s="20"/>
      <c r="AQ218" s="20"/>
      <c r="AR218" s="16"/>
    </row>
    <row r="219" spans="1:44">
      <c r="A219" s="3" t="s">
        <v>44</v>
      </c>
      <c r="B219" s="3" t="s">
        <v>45</v>
      </c>
      <c r="C219" s="4" t="s">
        <v>46</v>
      </c>
      <c r="D219" s="5" t="s">
        <v>53</v>
      </c>
      <c r="E219" s="29">
        <v>2</v>
      </c>
      <c r="F219" s="10"/>
      <c r="G219" s="10">
        <v>0.251</v>
      </c>
      <c r="H219" s="10"/>
      <c r="I219" s="10">
        <v>-70.5836036212381</v>
      </c>
      <c r="J219" s="10">
        <v>17.1987514068999</v>
      </c>
      <c r="K219" s="14">
        <v>1</v>
      </c>
      <c r="L219" s="14">
        <v>1</v>
      </c>
      <c r="M219" s="10">
        <v>8.65325490196079</v>
      </c>
      <c r="N219" s="10">
        <v>9.814</v>
      </c>
      <c r="O219" s="14">
        <v>1</v>
      </c>
      <c r="P219" s="18">
        <v>10</v>
      </c>
      <c r="Q219" s="18">
        <v>10</v>
      </c>
      <c r="R219" s="18">
        <v>0</v>
      </c>
      <c r="S219" s="14">
        <v>0</v>
      </c>
      <c r="T219" s="10">
        <v>4.49312333333333</v>
      </c>
      <c r="U219" s="10">
        <v>5.736</v>
      </c>
      <c r="V219" s="14">
        <v>1</v>
      </c>
      <c r="W219" s="18">
        <v>10</v>
      </c>
      <c r="X219" s="18">
        <v>10</v>
      </c>
      <c r="Y219" s="18">
        <v>0</v>
      </c>
      <c r="Z219" s="14">
        <v>0</v>
      </c>
      <c r="AA219" s="10"/>
      <c r="AB219" s="10"/>
      <c r="AC219" s="14"/>
      <c r="AD219" s="14"/>
      <c r="AE219" s="10"/>
      <c r="AF219" s="10"/>
      <c r="AG219" s="14"/>
      <c r="AH219" s="18"/>
      <c r="AI219" s="18"/>
      <c r="AJ219" s="18"/>
      <c r="AK219" s="14"/>
      <c r="AL219" s="10"/>
      <c r="AM219" s="10"/>
      <c r="AN219" s="14"/>
      <c r="AO219" s="18"/>
      <c r="AP219" s="18"/>
      <c r="AQ219" s="18"/>
      <c r="AR219" s="14"/>
    </row>
    <row r="220" spans="1:44">
      <c r="A220" s="3" t="s">
        <v>51</v>
      </c>
      <c r="B220" s="4" t="s">
        <v>58</v>
      </c>
      <c r="C220" s="4" t="s">
        <v>49</v>
      </c>
      <c r="D220" s="4" t="s">
        <v>64</v>
      </c>
      <c r="E220" s="30">
        <v>1</v>
      </c>
      <c r="F220" s="11">
        <v>214.129415941536</v>
      </c>
      <c r="G220" s="11">
        <v>7.05322888888889</v>
      </c>
      <c r="H220" s="11">
        <v>30.3590623974871</v>
      </c>
      <c r="I220" s="11">
        <v>-70.5818408400243</v>
      </c>
      <c r="J220" s="11">
        <v>10.766793817555</v>
      </c>
      <c r="K220" s="15">
        <v>0.974620376687876</v>
      </c>
      <c r="L220" s="15">
        <v>0.975556542849436</v>
      </c>
      <c r="M220" s="11">
        <v>7.13778524123932</v>
      </c>
      <c r="N220" s="11">
        <v>9.19258</v>
      </c>
      <c r="O220" s="15">
        <v>0.941239316239316</v>
      </c>
      <c r="P220" s="19">
        <v>156</v>
      </c>
      <c r="Q220" s="19">
        <v>156</v>
      </c>
      <c r="R220" s="19">
        <v>0</v>
      </c>
      <c r="S220" s="15">
        <v>0</v>
      </c>
      <c r="T220" s="11">
        <v>4.09844009795229</v>
      </c>
      <c r="U220" s="11">
        <v>5.42373</v>
      </c>
      <c r="V220" s="15">
        <v>0.955034832172261</v>
      </c>
      <c r="W220" s="19">
        <v>159</v>
      </c>
      <c r="X220" s="19">
        <v>159</v>
      </c>
      <c r="Y220" s="19">
        <v>0</v>
      </c>
      <c r="Z220" s="15">
        <v>0</v>
      </c>
      <c r="AA220" s="11">
        <v>-70.5429888505619</v>
      </c>
      <c r="AB220" s="11">
        <v>10.3989833728834</v>
      </c>
      <c r="AC220" s="15">
        <v>0.976216937097133</v>
      </c>
      <c r="AD220" s="15">
        <v>0.977439430984663</v>
      </c>
      <c r="AE220" s="11">
        <v>7.28725494525135</v>
      </c>
      <c r="AF220" s="11">
        <v>9.236873</v>
      </c>
      <c r="AG220" s="15">
        <v>0.955470038482683</v>
      </c>
      <c r="AH220" s="19">
        <v>156</v>
      </c>
      <c r="AI220" s="19">
        <v>156</v>
      </c>
      <c r="AJ220" s="19">
        <v>0</v>
      </c>
      <c r="AK220" s="15">
        <v>0</v>
      </c>
      <c r="AL220" s="11">
        <v>4.12277155300806</v>
      </c>
      <c r="AM220" s="11">
        <v>5.11462575</v>
      </c>
      <c r="AN220" s="15">
        <v>0.970890410958904</v>
      </c>
      <c r="AO220" s="19">
        <v>159</v>
      </c>
      <c r="AP220" s="19">
        <v>159</v>
      </c>
      <c r="AQ220" s="19">
        <v>0</v>
      </c>
      <c r="AR220" s="15">
        <v>0</v>
      </c>
    </row>
    <row r="221" spans="1:44">
      <c r="A221" s="3" t="s">
        <v>44</v>
      </c>
      <c r="B221" s="7" t="s">
        <v>60</v>
      </c>
      <c r="C221" s="4" t="s">
        <v>46</v>
      </c>
      <c r="D221" s="5" t="s">
        <v>53</v>
      </c>
      <c r="E221" s="29">
        <v>3</v>
      </c>
      <c r="F221" s="10"/>
      <c r="G221" s="10">
        <v>0.246</v>
      </c>
      <c r="H221" s="10"/>
      <c r="I221" s="10">
        <v>-70.5747376494473</v>
      </c>
      <c r="J221" s="10">
        <v>10.0036877960749</v>
      </c>
      <c r="K221" s="14">
        <v>1</v>
      </c>
      <c r="L221" s="14">
        <v>1</v>
      </c>
      <c r="M221" s="10">
        <v>9.73147697368421</v>
      </c>
      <c r="N221" s="10">
        <v>9.926</v>
      </c>
      <c r="O221" s="14">
        <v>1</v>
      </c>
      <c r="P221" s="18">
        <v>10</v>
      </c>
      <c r="Q221" s="18">
        <v>10</v>
      </c>
      <c r="R221" s="18">
        <v>0</v>
      </c>
      <c r="S221" s="14">
        <v>0</v>
      </c>
      <c r="T221" s="10">
        <v>4.99984</v>
      </c>
      <c r="U221" s="10">
        <v>6.017</v>
      </c>
      <c r="V221" s="14">
        <v>1</v>
      </c>
      <c r="W221" s="18">
        <v>10</v>
      </c>
      <c r="X221" s="18">
        <v>10</v>
      </c>
      <c r="Y221" s="18">
        <v>0</v>
      </c>
      <c r="Z221" s="14">
        <v>0</v>
      </c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</row>
    <row r="222" spans="1:44">
      <c r="A222" s="3" t="s">
        <v>51</v>
      </c>
      <c r="B222" s="4" t="s">
        <v>62</v>
      </c>
      <c r="C222" s="4" t="s">
        <v>46</v>
      </c>
      <c r="D222" s="4" t="s">
        <v>47</v>
      </c>
      <c r="E222" s="31">
        <v>3</v>
      </c>
      <c r="F222" s="11"/>
      <c r="G222" s="11">
        <v>0.378630555555556</v>
      </c>
      <c r="H222" s="11"/>
      <c r="I222" s="11">
        <v>-70.4707081302502</v>
      </c>
      <c r="J222" s="11">
        <v>14.4060398974071</v>
      </c>
      <c r="K222" s="15">
        <v>1</v>
      </c>
      <c r="L222" s="15">
        <v>1</v>
      </c>
      <c r="M222" s="11">
        <v>8.09714278</v>
      </c>
      <c r="N222" s="11">
        <v>8.44288</v>
      </c>
      <c r="O222" s="15">
        <v>1</v>
      </c>
      <c r="P222" s="19">
        <v>10</v>
      </c>
      <c r="Q222" s="19">
        <v>10</v>
      </c>
      <c r="R222" s="19">
        <v>0</v>
      </c>
      <c r="S222" s="15">
        <v>0</v>
      </c>
      <c r="T222" s="11">
        <v>4.46227970666667</v>
      </c>
      <c r="U222" s="11">
        <v>5.47284</v>
      </c>
      <c r="V222" s="15">
        <v>1</v>
      </c>
      <c r="W222" s="19">
        <v>10</v>
      </c>
      <c r="X222" s="19">
        <v>10</v>
      </c>
      <c r="Y222" s="19">
        <v>0</v>
      </c>
      <c r="Z222" s="15">
        <v>0</v>
      </c>
      <c r="AA222" s="11"/>
      <c r="AB222" s="11"/>
      <c r="AC222" s="15"/>
      <c r="AD222" s="15"/>
      <c r="AE222" s="11"/>
      <c r="AF222" s="11"/>
      <c r="AG222" s="15"/>
      <c r="AH222" s="19"/>
      <c r="AI222" s="19"/>
      <c r="AJ222" s="19"/>
      <c r="AK222" s="15"/>
      <c r="AL222" s="11"/>
      <c r="AM222" s="11"/>
      <c r="AN222" s="15"/>
      <c r="AO222" s="19"/>
      <c r="AP222" s="19"/>
      <c r="AQ222" s="19"/>
      <c r="AR222" s="15"/>
    </row>
    <row r="223" spans="1:44">
      <c r="A223" s="3" t="s">
        <v>51</v>
      </c>
      <c r="B223" s="6" t="s">
        <v>55</v>
      </c>
      <c r="C223" s="6" t="s">
        <v>49</v>
      </c>
      <c r="D223" s="6" t="s">
        <v>50</v>
      </c>
      <c r="E223" s="34">
        <v>1</v>
      </c>
      <c r="F223" s="11">
        <v>2.08666555297375</v>
      </c>
      <c r="G223" s="11">
        <v>0.564666666666667</v>
      </c>
      <c r="H223" s="11">
        <v>3.69539354127582</v>
      </c>
      <c r="I223" s="11">
        <v>-70.4453840480687</v>
      </c>
      <c r="J223" s="11">
        <v>17.1628530748607</v>
      </c>
      <c r="K223" s="15">
        <v>0.990089197224975</v>
      </c>
      <c r="L223" s="15">
        <v>0.990089197224975</v>
      </c>
      <c r="M223" s="11">
        <v>3.97377850444444</v>
      </c>
      <c r="N223" s="11">
        <v>7.26416</v>
      </c>
      <c r="O223" s="15">
        <v>0.902222222222222</v>
      </c>
      <c r="P223" s="19">
        <v>15</v>
      </c>
      <c r="Q223" s="19">
        <v>15</v>
      </c>
      <c r="R223" s="19">
        <v>0</v>
      </c>
      <c r="S223" s="15">
        <v>0</v>
      </c>
      <c r="T223" s="11">
        <v>3.93927379555556</v>
      </c>
      <c r="U223" s="11">
        <v>4.27773</v>
      </c>
      <c r="V223" s="15">
        <v>0.997777777777778</v>
      </c>
      <c r="W223" s="19">
        <v>15</v>
      </c>
      <c r="X223" s="19">
        <v>15</v>
      </c>
      <c r="Y223" s="19">
        <v>0</v>
      </c>
      <c r="Z223" s="15">
        <v>0</v>
      </c>
      <c r="AA223" s="11">
        <v>-71.718185896533</v>
      </c>
      <c r="AB223" s="11">
        <v>16.8513474505036</v>
      </c>
      <c r="AC223" s="15">
        <v>0.98780487804878</v>
      </c>
      <c r="AD223" s="15">
        <v>0.98780487804878</v>
      </c>
      <c r="AE223" s="11">
        <v>4.04291747044835</v>
      </c>
      <c r="AF223" s="11">
        <v>7.27341361111111</v>
      </c>
      <c r="AG223" s="15">
        <v>1</v>
      </c>
      <c r="AH223" s="19">
        <v>15</v>
      </c>
      <c r="AI223" s="19">
        <v>15</v>
      </c>
      <c r="AJ223" s="19">
        <v>0</v>
      </c>
      <c r="AK223" s="15">
        <v>0</v>
      </c>
      <c r="AL223" s="11">
        <v>4.05290387021576</v>
      </c>
      <c r="AM223" s="11">
        <v>4.25509666666667</v>
      </c>
      <c r="AN223" s="15">
        <v>1</v>
      </c>
      <c r="AO223" s="19">
        <v>15</v>
      </c>
      <c r="AP223" s="19">
        <v>15</v>
      </c>
      <c r="AQ223" s="19">
        <v>0</v>
      </c>
      <c r="AR223" s="15">
        <v>0</v>
      </c>
    </row>
    <row r="224" spans="1:44">
      <c r="A224" s="3" t="s">
        <v>44</v>
      </c>
      <c r="B224" s="3" t="s">
        <v>48</v>
      </c>
      <c r="C224" s="4" t="s">
        <v>46</v>
      </c>
      <c r="D224" s="5" t="s">
        <v>57</v>
      </c>
      <c r="E224" s="29">
        <v>2</v>
      </c>
      <c r="F224" s="10"/>
      <c r="G224" s="10">
        <v>0.238</v>
      </c>
      <c r="H224" s="10"/>
      <c r="I224" s="10">
        <v>-70.1734928795559</v>
      </c>
      <c r="J224" s="10">
        <v>17.4558648322472</v>
      </c>
      <c r="K224" s="14">
        <v>1</v>
      </c>
      <c r="L224" s="14">
        <v>1</v>
      </c>
      <c r="M224" s="10">
        <v>9.34714144736842</v>
      </c>
      <c r="N224" s="10">
        <v>9.893</v>
      </c>
      <c r="O224" s="14">
        <v>1</v>
      </c>
      <c r="P224" s="18">
        <v>10</v>
      </c>
      <c r="Q224" s="18">
        <v>10</v>
      </c>
      <c r="R224" s="18">
        <v>0</v>
      </c>
      <c r="S224" s="14">
        <v>0</v>
      </c>
      <c r="T224" s="10">
        <v>4.92898</v>
      </c>
      <c r="U224" s="10">
        <v>5.882</v>
      </c>
      <c r="V224" s="14">
        <v>1</v>
      </c>
      <c r="W224" s="18">
        <v>10</v>
      </c>
      <c r="X224" s="18">
        <v>10</v>
      </c>
      <c r="Y224" s="18">
        <v>0</v>
      </c>
      <c r="Z224" s="14">
        <v>0</v>
      </c>
      <c r="AA224" s="10"/>
      <c r="AB224" s="10"/>
      <c r="AC224" s="14"/>
      <c r="AD224" s="14"/>
      <c r="AE224" s="10"/>
      <c r="AF224" s="10"/>
      <c r="AG224" s="14"/>
      <c r="AH224" s="18"/>
      <c r="AI224" s="18"/>
      <c r="AJ224" s="18"/>
      <c r="AK224" s="14"/>
      <c r="AL224" s="10"/>
      <c r="AM224" s="10"/>
      <c r="AN224" s="14"/>
      <c r="AO224" s="18"/>
      <c r="AP224" s="18"/>
      <c r="AQ224" s="18"/>
      <c r="AR224" s="14"/>
    </row>
    <row r="225" spans="1:44">
      <c r="A225" s="3" t="s">
        <v>51</v>
      </c>
      <c r="B225" s="5" t="s">
        <v>63</v>
      </c>
      <c r="C225" s="6" t="s">
        <v>49</v>
      </c>
      <c r="D225" s="6" t="s">
        <v>61</v>
      </c>
      <c r="E225" s="31">
        <v>1</v>
      </c>
      <c r="F225" s="11">
        <v>2.03014532768726</v>
      </c>
      <c r="G225" s="11">
        <v>0.498005555555556</v>
      </c>
      <c r="H225" s="11">
        <v>4.07655156662361</v>
      </c>
      <c r="I225" s="11">
        <v>-70.1409459995054</v>
      </c>
      <c r="J225" s="11">
        <v>17.3222870826879</v>
      </c>
      <c r="K225" s="15">
        <v>0.992734994970381</v>
      </c>
      <c r="L225" s="15">
        <v>0.992734994970381</v>
      </c>
      <c r="M225" s="11">
        <v>9.71330798974359</v>
      </c>
      <c r="N225" s="11">
        <v>10.1052</v>
      </c>
      <c r="O225" s="15">
        <v>1</v>
      </c>
      <c r="P225" s="19">
        <v>13</v>
      </c>
      <c r="Q225" s="19">
        <v>13</v>
      </c>
      <c r="R225" s="19">
        <v>0</v>
      </c>
      <c r="S225" s="15">
        <v>0</v>
      </c>
      <c r="T225" s="11">
        <v>4.72704182380952</v>
      </c>
      <c r="U225" s="11">
        <v>4.87668</v>
      </c>
      <c r="V225" s="15">
        <v>1</v>
      </c>
      <c r="W225" s="19">
        <v>14</v>
      </c>
      <c r="X225" s="19">
        <v>14</v>
      </c>
      <c r="Y225" s="19">
        <v>0</v>
      </c>
      <c r="Z225" s="15">
        <v>0</v>
      </c>
      <c r="AA225" s="11">
        <v>-71.1980654024407</v>
      </c>
      <c r="AB225" s="11">
        <v>16.9657031664918</v>
      </c>
      <c r="AC225" s="15">
        <v>1</v>
      </c>
      <c r="AD225" s="15">
        <v>1</v>
      </c>
      <c r="AE225" s="11">
        <v>9.64729998015815</v>
      </c>
      <c r="AF225" s="11">
        <v>10.023904</v>
      </c>
      <c r="AG225" s="15">
        <v>1</v>
      </c>
      <c r="AH225" s="19">
        <v>13</v>
      </c>
      <c r="AI225" s="19">
        <v>13</v>
      </c>
      <c r="AJ225" s="19">
        <v>0</v>
      </c>
      <c r="AK225" s="15">
        <v>0</v>
      </c>
      <c r="AL225" s="11">
        <v>4.72880934727758</v>
      </c>
      <c r="AM225" s="11">
        <v>4.8359768</v>
      </c>
      <c r="AN225" s="15">
        <v>1</v>
      </c>
      <c r="AO225" s="19">
        <v>14</v>
      </c>
      <c r="AP225" s="19">
        <v>14</v>
      </c>
      <c r="AQ225" s="19">
        <v>0</v>
      </c>
      <c r="AR225" s="15">
        <v>0</v>
      </c>
    </row>
    <row r="226" spans="1:44">
      <c r="A226" s="3" t="s">
        <v>44</v>
      </c>
      <c r="B226" s="3" t="s">
        <v>45</v>
      </c>
      <c r="C226" s="4" t="s">
        <v>46</v>
      </c>
      <c r="D226" s="5" t="s">
        <v>53</v>
      </c>
      <c r="E226" s="29">
        <v>1</v>
      </c>
      <c r="F226" s="10"/>
      <c r="G226" s="10">
        <v>0.244</v>
      </c>
      <c r="H226" s="10"/>
      <c r="I226" s="10">
        <v>-69.9987724314272</v>
      </c>
      <c r="J226" s="10">
        <v>12.7885867038587</v>
      </c>
      <c r="K226" s="14">
        <v>1</v>
      </c>
      <c r="L226" s="14">
        <v>1</v>
      </c>
      <c r="M226" s="10">
        <v>4.349625</v>
      </c>
      <c r="N226" s="10">
        <v>6.886</v>
      </c>
      <c r="O226" s="14">
        <v>0.766447368421053</v>
      </c>
      <c r="P226" s="18">
        <v>10</v>
      </c>
      <c r="Q226" s="18">
        <v>10</v>
      </c>
      <c r="R226" s="18">
        <v>0</v>
      </c>
      <c r="S226" s="14">
        <v>0</v>
      </c>
      <c r="T226" s="10">
        <v>2.3886303630363</v>
      </c>
      <c r="U226" s="10">
        <v>4.255</v>
      </c>
      <c r="V226" s="14">
        <v>0.818481848184819</v>
      </c>
      <c r="W226" s="18">
        <v>10</v>
      </c>
      <c r="X226" s="18">
        <v>10</v>
      </c>
      <c r="Y226" s="18">
        <v>0</v>
      </c>
      <c r="Z226" s="14">
        <v>0</v>
      </c>
      <c r="AA226" s="10"/>
      <c r="AB226" s="10"/>
      <c r="AC226" s="14"/>
      <c r="AD226" s="14"/>
      <c r="AE226" s="10"/>
      <c r="AF226" s="10"/>
      <c r="AG226" s="14"/>
      <c r="AH226" s="18"/>
      <c r="AI226" s="18"/>
      <c r="AJ226" s="18"/>
      <c r="AK226" s="14"/>
      <c r="AL226" s="10"/>
      <c r="AM226" s="10"/>
      <c r="AN226" s="14"/>
      <c r="AO226" s="18"/>
      <c r="AP226" s="18"/>
      <c r="AQ226" s="18"/>
      <c r="AR226" s="14"/>
    </row>
    <row r="227" spans="1:44">
      <c r="A227" s="3" t="s">
        <v>51</v>
      </c>
      <c r="B227" s="4" t="s">
        <v>62</v>
      </c>
      <c r="C227" s="4" t="s">
        <v>46</v>
      </c>
      <c r="D227" s="4" t="s">
        <v>53</v>
      </c>
      <c r="E227" s="31">
        <v>3</v>
      </c>
      <c r="F227" s="11" t="s">
        <v>54</v>
      </c>
      <c r="G227" s="11">
        <v>0.381833333333333</v>
      </c>
      <c r="H227" s="11" t="s">
        <v>54</v>
      </c>
      <c r="I227" s="11">
        <v>-69.8646147089825</v>
      </c>
      <c r="J227" s="11">
        <v>13.4043305096071</v>
      </c>
      <c r="K227" s="15">
        <v>1</v>
      </c>
      <c r="L227" s="15">
        <v>1</v>
      </c>
      <c r="M227" s="11">
        <v>8.58602828666667</v>
      </c>
      <c r="N227" s="11">
        <v>9.90681</v>
      </c>
      <c r="O227" s="15">
        <v>1</v>
      </c>
      <c r="P227" s="19">
        <v>10</v>
      </c>
      <c r="Q227" s="19">
        <v>10</v>
      </c>
      <c r="R227" s="19">
        <v>0</v>
      </c>
      <c r="S227" s="15">
        <v>0</v>
      </c>
      <c r="T227" s="11">
        <v>4.77805379</v>
      </c>
      <c r="U227" s="11">
        <v>5.40218</v>
      </c>
      <c r="V227" s="15">
        <v>1</v>
      </c>
      <c r="W227" s="19">
        <v>10</v>
      </c>
      <c r="X227" s="19">
        <v>10</v>
      </c>
      <c r="Y227" s="19">
        <v>0</v>
      </c>
      <c r="Z227" s="15">
        <v>0</v>
      </c>
      <c r="AA227" s="11"/>
      <c r="AB227" s="11"/>
      <c r="AC227" s="15"/>
      <c r="AD227" s="15"/>
      <c r="AE227" s="11"/>
      <c r="AF227" s="11"/>
      <c r="AG227" s="15"/>
      <c r="AH227" s="19"/>
      <c r="AI227" s="19"/>
      <c r="AJ227" s="19"/>
      <c r="AK227" s="15"/>
      <c r="AL227" s="11"/>
      <c r="AM227" s="11"/>
      <c r="AN227" s="15"/>
      <c r="AO227" s="19"/>
      <c r="AP227" s="19"/>
      <c r="AQ227" s="19"/>
      <c r="AR227" s="15"/>
    </row>
    <row r="228" spans="1:44">
      <c r="A228" s="3" t="s">
        <v>51</v>
      </c>
      <c r="B228" s="5" t="s">
        <v>55</v>
      </c>
      <c r="C228" s="5" t="s">
        <v>46</v>
      </c>
      <c r="D228" s="5" t="s">
        <v>57</v>
      </c>
      <c r="E228" s="31">
        <v>1</v>
      </c>
      <c r="F228" s="11" t="s">
        <v>54</v>
      </c>
      <c r="G228" s="11">
        <v>0.376388888888889</v>
      </c>
      <c r="H228" s="11" t="s">
        <v>54</v>
      </c>
      <c r="I228" s="11">
        <v>-69.8515128858197</v>
      </c>
      <c r="J228" s="11">
        <v>5.96671501920544</v>
      </c>
      <c r="K228" s="15">
        <v>0.813058627480685</v>
      </c>
      <c r="L228" s="15">
        <v>0.81684593243448</v>
      </c>
      <c r="M228" s="11">
        <v>4.43528749666667</v>
      </c>
      <c r="N228" s="11">
        <v>7.70054</v>
      </c>
      <c r="O228" s="15">
        <v>0.906666666666667</v>
      </c>
      <c r="P228" s="19">
        <v>10</v>
      </c>
      <c r="Q228" s="19">
        <v>10</v>
      </c>
      <c r="R228" s="19">
        <v>0</v>
      </c>
      <c r="S228" s="15">
        <v>0</v>
      </c>
      <c r="T228" s="11">
        <v>4.22789497</v>
      </c>
      <c r="U228" s="11">
        <v>4.84782</v>
      </c>
      <c r="V228" s="15">
        <v>0.963333333333333</v>
      </c>
      <c r="W228" s="19">
        <v>10</v>
      </c>
      <c r="X228" s="19">
        <v>10</v>
      </c>
      <c r="Y228" s="19">
        <v>0</v>
      </c>
      <c r="Z228" s="15">
        <v>0</v>
      </c>
      <c r="AA228" s="11"/>
      <c r="AB228" s="11"/>
      <c r="AC228" s="15"/>
      <c r="AD228" s="15"/>
      <c r="AE228" s="11"/>
      <c r="AF228" s="11"/>
      <c r="AG228" s="15"/>
      <c r="AH228" s="19"/>
      <c r="AI228" s="19"/>
      <c r="AJ228" s="19"/>
      <c r="AK228" s="15"/>
      <c r="AL228" s="11"/>
      <c r="AM228" s="11"/>
      <c r="AN228" s="15"/>
      <c r="AO228" s="19"/>
      <c r="AP228" s="19"/>
      <c r="AQ228" s="19"/>
      <c r="AR228" s="15"/>
    </row>
    <row r="229" spans="1:44">
      <c r="A229" s="3" t="s">
        <v>51</v>
      </c>
      <c r="B229" s="5" t="s">
        <v>63</v>
      </c>
      <c r="C229" s="5" t="s">
        <v>46</v>
      </c>
      <c r="D229" s="5" t="s">
        <v>53</v>
      </c>
      <c r="E229" s="31">
        <v>1</v>
      </c>
      <c r="F229" s="11" t="s">
        <v>54</v>
      </c>
      <c r="G229" s="11">
        <v>0.411225</v>
      </c>
      <c r="H229" s="11" t="s">
        <v>54</v>
      </c>
      <c r="I229" s="11">
        <v>-69.5044367964672</v>
      </c>
      <c r="J229" s="11">
        <v>26.6155658279745</v>
      </c>
      <c r="K229" s="15">
        <v>1</v>
      </c>
      <c r="L229" s="15">
        <v>1</v>
      </c>
      <c r="M229" s="11">
        <v>9.67331219333333</v>
      </c>
      <c r="N229" s="11">
        <v>10.0531</v>
      </c>
      <c r="O229" s="15">
        <v>1</v>
      </c>
      <c r="P229" s="19">
        <v>10</v>
      </c>
      <c r="Q229" s="19">
        <v>10</v>
      </c>
      <c r="R229" s="19">
        <v>0</v>
      </c>
      <c r="S229" s="15">
        <v>0</v>
      </c>
      <c r="T229" s="11">
        <v>4.7647663</v>
      </c>
      <c r="U229" s="11">
        <v>4.87375</v>
      </c>
      <c r="V229" s="15">
        <v>1</v>
      </c>
      <c r="W229" s="19">
        <v>10</v>
      </c>
      <c r="X229" s="19">
        <v>10</v>
      </c>
      <c r="Y229" s="19">
        <v>0</v>
      </c>
      <c r="Z229" s="15">
        <v>0</v>
      </c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</row>
    <row r="230" spans="1:44">
      <c r="A230" s="3" t="s">
        <v>51</v>
      </c>
      <c r="B230" s="5" t="s">
        <v>63</v>
      </c>
      <c r="C230" s="5" t="s">
        <v>46</v>
      </c>
      <c r="D230" s="5" t="s">
        <v>53</v>
      </c>
      <c r="E230" s="31">
        <v>2</v>
      </c>
      <c r="F230" s="11"/>
      <c r="G230" s="11">
        <v>0.370638888888889</v>
      </c>
      <c r="H230" s="11" t="s">
        <v>54</v>
      </c>
      <c r="I230" s="11">
        <v>-69.4324518797565</v>
      </c>
      <c r="J230" s="11">
        <v>16.4909908132204</v>
      </c>
      <c r="K230" s="15">
        <v>1</v>
      </c>
      <c r="L230" s="15">
        <v>1</v>
      </c>
      <c r="M230" s="11">
        <v>8.65214323958333</v>
      </c>
      <c r="N230" s="11">
        <v>9.88425</v>
      </c>
      <c r="O230" s="15">
        <v>0.986111111111111</v>
      </c>
      <c r="P230" s="19">
        <v>10</v>
      </c>
      <c r="Q230" s="19">
        <v>10</v>
      </c>
      <c r="R230" s="19">
        <v>0</v>
      </c>
      <c r="S230" s="15">
        <v>0</v>
      </c>
      <c r="T230" s="11">
        <v>4.57566707333333</v>
      </c>
      <c r="U230" s="11">
        <v>6.09829</v>
      </c>
      <c r="V230" s="15">
        <v>1</v>
      </c>
      <c r="W230" s="19">
        <v>10</v>
      </c>
      <c r="X230" s="19">
        <v>10</v>
      </c>
      <c r="Y230" s="19">
        <v>0</v>
      </c>
      <c r="Z230" s="15">
        <v>0</v>
      </c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</row>
    <row r="231" spans="1:44">
      <c r="A231" s="3" t="s">
        <v>44</v>
      </c>
      <c r="B231" s="3" t="s">
        <v>48</v>
      </c>
      <c r="C231" s="4" t="s">
        <v>49</v>
      </c>
      <c r="D231" s="5" t="s">
        <v>50</v>
      </c>
      <c r="E231" s="29">
        <v>1</v>
      </c>
      <c r="F231" s="10">
        <v>3.658</v>
      </c>
      <c r="G231" s="10">
        <v>1.004</v>
      </c>
      <c r="H231" s="10">
        <v>3.64342629482072</v>
      </c>
      <c r="I231" s="10">
        <v>-69.4124570732248</v>
      </c>
      <c r="J231" s="10">
        <v>10.7989780658026</v>
      </c>
      <c r="K231" s="14">
        <v>0.995125733909383</v>
      </c>
      <c r="L231" s="14">
        <v>0.995125733909383</v>
      </c>
      <c r="M231" s="10">
        <v>8.61389792785879</v>
      </c>
      <c r="N231" s="10">
        <v>9.619</v>
      </c>
      <c r="O231" s="14">
        <v>0.996162701458173</v>
      </c>
      <c r="P231" s="18">
        <v>43</v>
      </c>
      <c r="Q231" s="18">
        <v>43</v>
      </c>
      <c r="R231" s="18">
        <v>0</v>
      </c>
      <c r="S231" s="14">
        <v>0</v>
      </c>
      <c r="T231" s="10">
        <v>5.0173882725832</v>
      </c>
      <c r="U231" s="10">
        <v>6.004</v>
      </c>
      <c r="V231" s="14">
        <v>0.997622820919176</v>
      </c>
      <c r="W231" s="18">
        <v>42</v>
      </c>
      <c r="X231" s="18">
        <v>42</v>
      </c>
      <c r="Y231" s="18">
        <v>0</v>
      </c>
      <c r="Z231" s="14">
        <v>0</v>
      </c>
      <c r="AA231" s="10">
        <v>-69.6668468085106</v>
      </c>
      <c r="AB231" s="10">
        <v>10.6537276595745</v>
      </c>
      <c r="AC231" s="14">
        <v>1</v>
      </c>
      <c r="AD231" s="14">
        <v>1</v>
      </c>
      <c r="AE231" s="10">
        <v>8.57722826086957</v>
      </c>
      <c r="AF231" s="10">
        <v>9.304</v>
      </c>
      <c r="AG231" s="14">
        <v>1</v>
      </c>
      <c r="AH231" s="18">
        <v>43</v>
      </c>
      <c r="AI231" s="18">
        <v>43</v>
      </c>
      <c r="AJ231" s="18">
        <v>0</v>
      </c>
      <c r="AK231" s="14">
        <v>0</v>
      </c>
      <c r="AL231" s="10">
        <v>4.99734408602151</v>
      </c>
      <c r="AM231" s="10">
        <v>5.437</v>
      </c>
      <c r="AN231" s="14">
        <v>1</v>
      </c>
      <c r="AO231" s="18">
        <v>42</v>
      </c>
      <c r="AP231" s="18">
        <v>42</v>
      </c>
      <c r="AQ231" s="18">
        <v>0</v>
      </c>
      <c r="AR231" s="14">
        <v>0</v>
      </c>
    </row>
    <row r="232" spans="1:44">
      <c r="A232" s="3" t="s">
        <v>44</v>
      </c>
      <c r="B232" s="3" t="s">
        <v>48</v>
      </c>
      <c r="C232" s="4" t="s">
        <v>46</v>
      </c>
      <c r="D232" s="5" t="s">
        <v>53</v>
      </c>
      <c r="E232" s="29">
        <v>1</v>
      </c>
      <c r="F232" s="10"/>
      <c r="G232" s="10">
        <v>0.238</v>
      </c>
      <c r="H232" s="10"/>
      <c r="I232" s="10">
        <v>-69.3727155576382</v>
      </c>
      <c r="J232" s="10">
        <v>21.3338929240862</v>
      </c>
      <c r="K232" s="14">
        <v>1</v>
      </c>
      <c r="L232" s="14">
        <v>1</v>
      </c>
      <c r="M232" s="10">
        <v>8.88642524916943</v>
      </c>
      <c r="N232" s="10">
        <v>9.488</v>
      </c>
      <c r="O232" s="14">
        <v>0.996677740863787</v>
      </c>
      <c r="P232" s="18">
        <v>10</v>
      </c>
      <c r="Q232" s="18">
        <v>10</v>
      </c>
      <c r="R232" s="18">
        <v>0</v>
      </c>
      <c r="S232" s="14">
        <v>0</v>
      </c>
      <c r="T232" s="10">
        <v>4.51846666666667</v>
      </c>
      <c r="U232" s="10">
        <v>5.718</v>
      </c>
      <c r="V232" s="14">
        <v>1</v>
      </c>
      <c r="W232" s="18">
        <v>10</v>
      </c>
      <c r="X232" s="18">
        <v>10</v>
      </c>
      <c r="Y232" s="18">
        <v>0</v>
      </c>
      <c r="Z232" s="14">
        <v>0</v>
      </c>
      <c r="AA232" s="10"/>
      <c r="AB232" s="10"/>
      <c r="AC232" s="14"/>
      <c r="AD232" s="14"/>
      <c r="AE232" s="10"/>
      <c r="AF232" s="10"/>
      <c r="AG232" s="14"/>
      <c r="AH232" s="18"/>
      <c r="AI232" s="18"/>
      <c r="AJ232" s="18"/>
      <c r="AK232" s="14"/>
      <c r="AL232" s="10"/>
      <c r="AM232" s="10"/>
      <c r="AN232" s="14"/>
      <c r="AO232" s="18"/>
      <c r="AP232" s="18"/>
      <c r="AQ232" s="18"/>
      <c r="AR232" s="14"/>
    </row>
    <row r="233" spans="1:44">
      <c r="A233" s="3" t="s">
        <v>51</v>
      </c>
      <c r="B233" s="6" t="s">
        <v>55</v>
      </c>
      <c r="C233" s="6" t="s">
        <v>49</v>
      </c>
      <c r="D233" s="6" t="s">
        <v>50</v>
      </c>
      <c r="E233" s="32">
        <v>2</v>
      </c>
      <c r="F233" s="11">
        <v>5.16537125635147</v>
      </c>
      <c r="G233" s="11">
        <v>0.447988888888889</v>
      </c>
      <c r="H233" s="11">
        <v>11.5301325199443</v>
      </c>
      <c r="I233" s="11">
        <v>-69.3549196620732</v>
      </c>
      <c r="J233" s="11">
        <v>15.9440179420064</v>
      </c>
      <c r="K233" s="15">
        <v>0.995354093420392</v>
      </c>
      <c r="L233" s="15">
        <v>0.995354093420392</v>
      </c>
      <c r="M233" s="11">
        <v>9.47462744568245</v>
      </c>
      <c r="N233" s="11">
        <v>10.1283</v>
      </c>
      <c r="O233" s="15">
        <v>0.997214484679666</v>
      </c>
      <c r="P233" s="19">
        <v>12</v>
      </c>
      <c r="Q233" s="19">
        <v>12</v>
      </c>
      <c r="R233" s="19">
        <v>0</v>
      </c>
      <c r="S233" s="15">
        <v>0</v>
      </c>
      <c r="T233" s="11">
        <v>4.41324780277778</v>
      </c>
      <c r="U233" s="11">
        <v>6.07393</v>
      </c>
      <c r="V233" s="15">
        <v>1</v>
      </c>
      <c r="W233" s="19">
        <v>12</v>
      </c>
      <c r="X233" s="19">
        <v>12</v>
      </c>
      <c r="Y233" s="19">
        <v>0</v>
      </c>
      <c r="Z233" s="15">
        <v>0</v>
      </c>
      <c r="AA233" s="11">
        <v>-70.2976248665689</v>
      </c>
      <c r="AB233" s="11">
        <v>15.9103801994919</v>
      </c>
      <c r="AC233" s="15">
        <v>1</v>
      </c>
      <c r="AD233" s="15">
        <v>1</v>
      </c>
      <c r="AE233" s="11">
        <v>9.41128828475121</v>
      </c>
      <c r="AF233" s="11">
        <v>10.0834415</v>
      </c>
      <c r="AG233" s="15">
        <v>1</v>
      </c>
      <c r="AH233" s="19">
        <v>12</v>
      </c>
      <c r="AI233" s="19">
        <v>12</v>
      </c>
      <c r="AJ233" s="19">
        <v>0</v>
      </c>
      <c r="AK233" s="15">
        <v>0</v>
      </c>
      <c r="AL233" s="11">
        <v>4.45381465053263</v>
      </c>
      <c r="AM233" s="11">
        <v>5.12089028571429</v>
      </c>
      <c r="AN233" s="15">
        <v>1</v>
      </c>
      <c r="AO233" s="19">
        <v>12</v>
      </c>
      <c r="AP233" s="19">
        <v>12</v>
      </c>
      <c r="AQ233" s="19">
        <v>0</v>
      </c>
      <c r="AR233" s="15">
        <v>0</v>
      </c>
    </row>
    <row r="234" spans="1:44">
      <c r="A234" s="3" t="s">
        <v>51</v>
      </c>
      <c r="B234" s="4" t="s">
        <v>62</v>
      </c>
      <c r="C234" s="4" t="s">
        <v>46</v>
      </c>
      <c r="D234" s="4" t="s">
        <v>47</v>
      </c>
      <c r="E234" s="31">
        <v>1</v>
      </c>
      <c r="F234" s="11"/>
      <c r="G234" s="11">
        <v>0.3788</v>
      </c>
      <c r="H234" s="11"/>
      <c r="I234" s="11">
        <v>-69.3307304667755</v>
      </c>
      <c r="J234" s="11">
        <v>8.53021479663636</v>
      </c>
      <c r="K234" s="15">
        <v>1</v>
      </c>
      <c r="L234" s="15">
        <v>1</v>
      </c>
      <c r="M234" s="11">
        <v>7.09374292</v>
      </c>
      <c r="N234" s="11">
        <v>8.27166</v>
      </c>
      <c r="O234" s="15">
        <v>1</v>
      </c>
      <c r="P234" s="19">
        <v>10</v>
      </c>
      <c r="Q234" s="19">
        <v>10</v>
      </c>
      <c r="R234" s="19">
        <v>0</v>
      </c>
      <c r="S234" s="15">
        <v>0</v>
      </c>
      <c r="T234" s="11">
        <v>4.57431431</v>
      </c>
      <c r="U234" s="11">
        <v>6.07393</v>
      </c>
      <c r="V234" s="15">
        <v>1</v>
      </c>
      <c r="W234" s="19">
        <v>10</v>
      </c>
      <c r="X234" s="19">
        <v>10</v>
      </c>
      <c r="Y234" s="19">
        <v>0</v>
      </c>
      <c r="Z234" s="15">
        <v>0</v>
      </c>
      <c r="AA234" s="11"/>
      <c r="AB234" s="11"/>
      <c r="AC234" s="15"/>
      <c r="AD234" s="15"/>
      <c r="AE234" s="11"/>
      <c r="AF234" s="11"/>
      <c r="AG234" s="15"/>
      <c r="AH234" s="19"/>
      <c r="AI234" s="19"/>
      <c r="AJ234" s="19"/>
      <c r="AK234" s="15"/>
      <c r="AL234" s="11"/>
      <c r="AM234" s="11"/>
      <c r="AN234" s="15"/>
      <c r="AO234" s="19"/>
      <c r="AP234" s="19"/>
      <c r="AQ234" s="19"/>
      <c r="AR234" s="15"/>
    </row>
    <row r="235" spans="1:44">
      <c r="A235" s="3" t="s">
        <v>51</v>
      </c>
      <c r="B235" s="4" t="s">
        <v>62</v>
      </c>
      <c r="C235" s="4" t="s">
        <v>49</v>
      </c>
      <c r="D235" s="4" t="s">
        <v>61</v>
      </c>
      <c r="E235" s="30">
        <v>1</v>
      </c>
      <c r="F235" s="11">
        <v>2.1691858626008</v>
      </c>
      <c r="G235" s="11">
        <v>0.505163888888889</v>
      </c>
      <c r="H235" s="11">
        <v>4.29402399956169</v>
      </c>
      <c r="I235" s="11">
        <v>-69.240733674662</v>
      </c>
      <c r="J235" s="11">
        <v>14.0553290566152</v>
      </c>
      <c r="K235" s="15">
        <v>0.978918322295806</v>
      </c>
      <c r="L235" s="15">
        <v>0.980794701986755</v>
      </c>
      <c r="M235" s="11">
        <v>5.73735788205128</v>
      </c>
      <c r="N235" s="11">
        <v>8.07832</v>
      </c>
      <c r="O235" s="15">
        <v>0.956410256410256</v>
      </c>
      <c r="P235" s="19">
        <v>13</v>
      </c>
      <c r="Q235" s="19">
        <v>13</v>
      </c>
      <c r="R235" s="19">
        <v>0</v>
      </c>
      <c r="S235" s="15">
        <v>0</v>
      </c>
      <c r="T235" s="11">
        <v>3.45518812857143</v>
      </c>
      <c r="U235" s="11">
        <v>5.47835</v>
      </c>
      <c r="V235" s="15">
        <v>0.90952380952381</v>
      </c>
      <c r="W235" s="19">
        <v>14</v>
      </c>
      <c r="X235" s="19">
        <v>14</v>
      </c>
      <c r="Y235" s="19">
        <v>0</v>
      </c>
      <c r="Z235" s="15">
        <v>0</v>
      </c>
      <c r="AA235" s="11">
        <v>-69.0845231777584</v>
      </c>
      <c r="AB235" s="11">
        <v>14.0658689769697</v>
      </c>
      <c r="AC235" s="15">
        <v>0.990566037735849</v>
      </c>
      <c r="AD235" s="15">
        <v>0.990566037735849</v>
      </c>
      <c r="AE235" s="11">
        <v>5.84927348630297</v>
      </c>
      <c r="AF235" s="11">
        <v>7.97416771428571</v>
      </c>
      <c r="AG235" s="15">
        <v>1</v>
      </c>
      <c r="AH235" s="19">
        <v>13</v>
      </c>
      <c r="AI235" s="19">
        <v>13</v>
      </c>
      <c r="AJ235" s="19">
        <v>0</v>
      </c>
      <c r="AK235" s="15">
        <v>0</v>
      </c>
      <c r="AL235" s="11">
        <v>3.41890476832609</v>
      </c>
      <c r="AM235" s="11">
        <v>4.8</v>
      </c>
      <c r="AN235" s="15">
        <v>0.975</v>
      </c>
      <c r="AO235" s="19">
        <v>14</v>
      </c>
      <c r="AP235" s="19">
        <v>14</v>
      </c>
      <c r="AQ235" s="19">
        <v>0</v>
      </c>
      <c r="AR235" s="15">
        <v>0</v>
      </c>
    </row>
    <row r="236" spans="1:44">
      <c r="A236" s="3" t="s">
        <v>51</v>
      </c>
      <c r="B236" s="6" t="s">
        <v>55</v>
      </c>
      <c r="C236" s="6" t="s">
        <v>46</v>
      </c>
      <c r="D236" s="5" t="s">
        <v>57</v>
      </c>
      <c r="E236" s="33">
        <v>2</v>
      </c>
      <c r="F236" s="11" t="s">
        <v>54</v>
      </c>
      <c r="G236" s="11">
        <v>0.376027777777778</v>
      </c>
      <c r="H236" s="11" t="s">
        <v>54</v>
      </c>
      <c r="I236" s="11">
        <v>-69.1607780246038</v>
      </c>
      <c r="J236" s="11">
        <v>13.5580293631193</v>
      </c>
      <c r="K236" s="15">
        <v>0.999552572706935</v>
      </c>
      <c r="L236" s="15">
        <v>0.999552572706935</v>
      </c>
      <c r="M236" s="11">
        <v>9.3524614180602</v>
      </c>
      <c r="N236" s="11">
        <v>10.1098</v>
      </c>
      <c r="O236" s="15">
        <v>1</v>
      </c>
      <c r="P236" s="19">
        <v>10</v>
      </c>
      <c r="Q236" s="19">
        <v>10</v>
      </c>
      <c r="R236" s="19">
        <v>0</v>
      </c>
      <c r="S236" s="15">
        <v>0</v>
      </c>
      <c r="T236" s="11">
        <v>4.67556647666667</v>
      </c>
      <c r="U236" s="11">
        <v>6.45812</v>
      </c>
      <c r="V236" s="15">
        <v>0.996666666666667</v>
      </c>
      <c r="W236" s="19">
        <v>10</v>
      </c>
      <c r="X236" s="19">
        <v>10</v>
      </c>
      <c r="Y236" s="19">
        <v>0</v>
      </c>
      <c r="Z236" s="15">
        <v>0</v>
      </c>
      <c r="AA236" s="11"/>
      <c r="AB236" s="11"/>
      <c r="AC236" s="15"/>
      <c r="AD236" s="15"/>
      <c r="AE236" s="11"/>
      <c r="AF236" s="11"/>
      <c r="AG236" s="15"/>
      <c r="AH236" s="19"/>
      <c r="AI236" s="19"/>
      <c r="AJ236" s="19"/>
      <c r="AK236" s="15"/>
      <c r="AL236" s="11"/>
      <c r="AM236" s="11"/>
      <c r="AN236" s="15"/>
      <c r="AO236" s="19"/>
      <c r="AP236" s="19"/>
      <c r="AQ236" s="19"/>
      <c r="AR236" s="15"/>
    </row>
    <row r="237" spans="1:44">
      <c r="A237" s="3" t="s">
        <v>51</v>
      </c>
      <c r="B237" s="5" t="s">
        <v>63</v>
      </c>
      <c r="C237" s="6" t="s">
        <v>49</v>
      </c>
      <c r="D237" s="6" t="s">
        <v>50</v>
      </c>
      <c r="E237" s="31">
        <v>3</v>
      </c>
      <c r="F237" s="11">
        <v>2.02233774805069</v>
      </c>
      <c r="G237" s="11">
        <v>0.476911111111111</v>
      </c>
      <c r="H237" s="11">
        <v>4.24049199302367</v>
      </c>
      <c r="I237" s="11">
        <v>-69.0927977788591</v>
      </c>
      <c r="J237" s="11">
        <v>7.30100463955953</v>
      </c>
      <c r="K237" s="15">
        <v>0.952470147506439</v>
      </c>
      <c r="L237" s="15">
        <v>0.952470147506439</v>
      </c>
      <c r="M237" s="11">
        <v>9.11714481025641</v>
      </c>
      <c r="N237" s="11">
        <v>10.0741</v>
      </c>
      <c r="O237" s="15">
        <v>1</v>
      </c>
      <c r="P237" s="19">
        <v>13</v>
      </c>
      <c r="Q237" s="19">
        <v>13</v>
      </c>
      <c r="R237" s="19">
        <v>0</v>
      </c>
      <c r="S237" s="15">
        <v>0</v>
      </c>
      <c r="T237" s="11">
        <v>4.51469841538462</v>
      </c>
      <c r="U237" s="11">
        <v>6.06786</v>
      </c>
      <c r="V237" s="15">
        <v>1</v>
      </c>
      <c r="W237" s="19">
        <v>13</v>
      </c>
      <c r="X237" s="19">
        <v>13</v>
      </c>
      <c r="Y237" s="19">
        <v>0</v>
      </c>
      <c r="Z237" s="15">
        <v>0</v>
      </c>
      <c r="AA237" s="11">
        <v>-69.7977467800611</v>
      </c>
      <c r="AB237" s="11">
        <v>6.79519276628076</v>
      </c>
      <c r="AC237" s="15">
        <v>0.978723404255319</v>
      </c>
      <c r="AD237" s="15">
        <v>0.978723404255319</v>
      </c>
      <c r="AE237" s="11">
        <v>9.23290010038296</v>
      </c>
      <c r="AF237" s="11">
        <v>9.91462733333333</v>
      </c>
      <c r="AG237" s="15">
        <v>1</v>
      </c>
      <c r="AH237" s="19">
        <v>13</v>
      </c>
      <c r="AI237" s="19">
        <v>13</v>
      </c>
      <c r="AJ237" s="19">
        <v>0</v>
      </c>
      <c r="AK237" s="15">
        <v>0</v>
      </c>
      <c r="AL237" s="11">
        <v>4.52150999043705</v>
      </c>
      <c r="AM237" s="11">
        <v>4.95368725</v>
      </c>
      <c r="AN237" s="15">
        <v>1</v>
      </c>
      <c r="AO237" s="19">
        <v>13</v>
      </c>
      <c r="AP237" s="19">
        <v>13</v>
      </c>
      <c r="AQ237" s="19">
        <v>0</v>
      </c>
      <c r="AR237" s="15">
        <v>0</v>
      </c>
    </row>
    <row r="238" spans="1:44">
      <c r="A238" s="3" t="s">
        <v>44</v>
      </c>
      <c r="B238" s="3" t="s">
        <v>48</v>
      </c>
      <c r="C238" s="4" t="s">
        <v>49</v>
      </c>
      <c r="D238" s="5" t="s">
        <v>50</v>
      </c>
      <c r="E238" s="29">
        <v>1</v>
      </c>
      <c r="F238" s="10">
        <v>5.92</v>
      </c>
      <c r="G238" s="10">
        <v>0.754</v>
      </c>
      <c r="H238" s="10">
        <v>7.85145888594164</v>
      </c>
      <c r="I238" s="10">
        <v>-68.8407219806941</v>
      </c>
      <c r="J238" s="10">
        <v>17.7172209859259</v>
      </c>
      <c r="K238" s="14">
        <v>0.997715717338442</v>
      </c>
      <c r="L238" s="14">
        <v>0.997715717338442</v>
      </c>
      <c r="M238" s="10">
        <v>8.30398665297741</v>
      </c>
      <c r="N238" s="10">
        <v>8.916</v>
      </c>
      <c r="O238" s="14">
        <v>0.997946611909651</v>
      </c>
      <c r="P238" s="18">
        <v>32</v>
      </c>
      <c r="Q238" s="18">
        <v>32</v>
      </c>
      <c r="R238" s="18">
        <v>0</v>
      </c>
      <c r="S238" s="14">
        <v>0</v>
      </c>
      <c r="T238" s="10">
        <v>4.9859646201873</v>
      </c>
      <c r="U238" s="10">
        <v>5.989</v>
      </c>
      <c r="V238" s="14">
        <v>0.998959417273673</v>
      </c>
      <c r="W238" s="18">
        <v>32</v>
      </c>
      <c r="X238" s="18">
        <v>32</v>
      </c>
      <c r="Y238" s="18">
        <v>0</v>
      </c>
      <c r="Z238" s="14">
        <v>0</v>
      </c>
      <c r="AA238" s="10">
        <v>-68.6482367688022</v>
      </c>
      <c r="AB238" s="10">
        <v>17.6867242339833</v>
      </c>
      <c r="AC238" s="14">
        <v>1</v>
      </c>
      <c r="AD238" s="14">
        <v>1</v>
      </c>
      <c r="AE238" s="10">
        <v>8.2685625</v>
      </c>
      <c r="AF238" s="10">
        <v>8.692</v>
      </c>
      <c r="AG238" s="14">
        <v>1</v>
      </c>
      <c r="AH238" s="18">
        <v>32</v>
      </c>
      <c r="AI238" s="18">
        <v>32</v>
      </c>
      <c r="AJ238" s="18">
        <v>0</v>
      </c>
      <c r="AK238" s="14">
        <v>0</v>
      </c>
      <c r="AL238" s="10">
        <v>5.0126015037594</v>
      </c>
      <c r="AM238" s="10">
        <v>5.519</v>
      </c>
      <c r="AN238" s="14">
        <v>1</v>
      </c>
      <c r="AO238" s="18">
        <v>32</v>
      </c>
      <c r="AP238" s="18">
        <v>32</v>
      </c>
      <c r="AQ238" s="18">
        <v>0</v>
      </c>
      <c r="AR238" s="14">
        <v>0</v>
      </c>
    </row>
    <row r="239" spans="1:44">
      <c r="A239" s="3" t="s">
        <v>44</v>
      </c>
      <c r="B239" s="3" t="s">
        <v>48</v>
      </c>
      <c r="C239" s="4" t="s">
        <v>49</v>
      </c>
      <c r="D239" s="5" t="s">
        <v>50</v>
      </c>
      <c r="E239" s="29">
        <v>3</v>
      </c>
      <c r="F239" s="10">
        <v>5.92</v>
      </c>
      <c r="G239" s="10">
        <v>0.754</v>
      </c>
      <c r="H239" s="10">
        <v>7.85145888594164</v>
      </c>
      <c r="I239" s="10">
        <v>-68.7705775384128</v>
      </c>
      <c r="J239" s="10">
        <v>14.7988203706637</v>
      </c>
      <c r="K239" s="14">
        <v>0.988515761127831</v>
      </c>
      <c r="L239" s="14">
        <v>0.988594962775226</v>
      </c>
      <c r="M239" s="10">
        <v>9.05005761316873</v>
      </c>
      <c r="N239" s="10">
        <v>9.891</v>
      </c>
      <c r="O239" s="14">
        <v>0.996913580246914</v>
      </c>
      <c r="P239" s="18">
        <v>32</v>
      </c>
      <c r="Q239" s="18">
        <v>32</v>
      </c>
      <c r="R239" s="18">
        <v>0</v>
      </c>
      <c r="S239" s="14">
        <v>0</v>
      </c>
      <c r="T239" s="10">
        <v>4.76749739854318</v>
      </c>
      <c r="U239" s="10">
        <v>5.836</v>
      </c>
      <c r="V239" s="14">
        <v>1</v>
      </c>
      <c r="W239" s="18">
        <v>32</v>
      </c>
      <c r="X239" s="18">
        <v>32</v>
      </c>
      <c r="Y239" s="18">
        <v>0</v>
      </c>
      <c r="Z239" s="14">
        <v>0</v>
      </c>
      <c r="AA239" s="10">
        <v>-68.6413938547486</v>
      </c>
      <c r="AB239" s="10">
        <v>14.6801648044693</v>
      </c>
      <c r="AC239" s="14">
        <v>0.994413407821229</v>
      </c>
      <c r="AD239" s="14">
        <v>0.994413407821229</v>
      </c>
      <c r="AE239" s="10">
        <v>8.85472307692308</v>
      </c>
      <c r="AF239" s="10">
        <v>9.821</v>
      </c>
      <c r="AG239" s="14">
        <v>0.992307692307692</v>
      </c>
      <c r="AH239" s="18">
        <v>32</v>
      </c>
      <c r="AI239" s="18">
        <v>32</v>
      </c>
      <c r="AJ239" s="18">
        <v>0</v>
      </c>
      <c r="AK239" s="14">
        <v>0</v>
      </c>
      <c r="AL239" s="10">
        <v>4.75559541984733</v>
      </c>
      <c r="AM239" s="10">
        <v>5.245</v>
      </c>
      <c r="AN239" s="14">
        <v>1</v>
      </c>
      <c r="AO239" s="18">
        <v>32</v>
      </c>
      <c r="AP239" s="18">
        <v>32</v>
      </c>
      <c r="AQ239" s="18">
        <v>0</v>
      </c>
      <c r="AR239" s="14">
        <v>0</v>
      </c>
    </row>
    <row r="240" spans="1:44">
      <c r="A240" s="3" t="s">
        <v>44</v>
      </c>
      <c r="B240" s="3" t="s">
        <v>48</v>
      </c>
      <c r="C240" s="4" t="s">
        <v>46</v>
      </c>
      <c r="D240" s="5" t="s">
        <v>57</v>
      </c>
      <c r="E240" s="29">
        <v>3</v>
      </c>
      <c r="F240" s="10"/>
      <c r="G240" s="10">
        <v>0.238</v>
      </c>
      <c r="H240" s="10"/>
      <c r="I240" s="10">
        <v>-68.7258815599422</v>
      </c>
      <c r="J240" s="10">
        <v>15.1356391429947</v>
      </c>
      <c r="K240" s="14">
        <v>1</v>
      </c>
      <c r="L240" s="14">
        <v>1</v>
      </c>
      <c r="M240" s="10">
        <v>8.59381848184819</v>
      </c>
      <c r="N240" s="10">
        <v>9.739</v>
      </c>
      <c r="O240" s="14">
        <v>0.996699669966997</v>
      </c>
      <c r="P240" s="18">
        <v>10</v>
      </c>
      <c r="Q240" s="18">
        <v>10</v>
      </c>
      <c r="R240" s="18">
        <v>0</v>
      </c>
      <c r="S240" s="14">
        <v>0</v>
      </c>
      <c r="T240" s="10">
        <v>4.84847333333333</v>
      </c>
      <c r="U240" s="10">
        <v>5.804</v>
      </c>
      <c r="V240" s="14">
        <v>1</v>
      </c>
      <c r="W240" s="18">
        <v>10</v>
      </c>
      <c r="X240" s="18">
        <v>10</v>
      </c>
      <c r="Y240" s="18">
        <v>0</v>
      </c>
      <c r="Z240" s="14">
        <v>0</v>
      </c>
      <c r="AA240" s="10"/>
      <c r="AB240" s="10"/>
      <c r="AC240" s="14"/>
      <c r="AD240" s="14"/>
      <c r="AE240" s="10"/>
      <c r="AF240" s="10"/>
      <c r="AG240" s="14"/>
      <c r="AH240" s="18"/>
      <c r="AI240" s="18"/>
      <c r="AJ240" s="18"/>
      <c r="AK240" s="14"/>
      <c r="AL240" s="10"/>
      <c r="AM240" s="10"/>
      <c r="AN240" s="14"/>
      <c r="AO240" s="18"/>
      <c r="AP240" s="18"/>
      <c r="AQ240" s="18"/>
      <c r="AR240" s="14"/>
    </row>
    <row r="241" spans="1:44">
      <c r="A241" s="3" t="s">
        <v>44</v>
      </c>
      <c r="B241" s="3" t="s">
        <v>59</v>
      </c>
      <c r="C241" s="4" t="s">
        <v>46</v>
      </c>
      <c r="D241" s="5" t="s">
        <v>47</v>
      </c>
      <c r="E241" s="29">
        <v>1</v>
      </c>
      <c r="F241" s="10"/>
      <c r="G241" s="10">
        <v>0.24</v>
      </c>
      <c r="H241" s="10"/>
      <c r="I241" s="10">
        <v>-68.4352762790698</v>
      </c>
      <c r="J241" s="10">
        <v>9.60045325581395</v>
      </c>
      <c r="K241" s="14">
        <v>1</v>
      </c>
      <c r="L241" s="14">
        <v>1</v>
      </c>
      <c r="M241" s="10">
        <v>8.57738110749186</v>
      </c>
      <c r="N241" s="10">
        <v>9.17</v>
      </c>
      <c r="O241" s="14">
        <v>1</v>
      </c>
      <c r="P241" s="18">
        <v>10</v>
      </c>
      <c r="Q241" s="18">
        <v>10</v>
      </c>
      <c r="R241" s="18">
        <v>0</v>
      </c>
      <c r="S241" s="14">
        <v>0</v>
      </c>
      <c r="T241" s="10">
        <v>5.03513666666667</v>
      </c>
      <c r="U241" s="10">
        <v>5.809</v>
      </c>
      <c r="V241" s="14">
        <v>1</v>
      </c>
      <c r="W241" s="18">
        <v>10</v>
      </c>
      <c r="X241" s="18">
        <v>10</v>
      </c>
      <c r="Y241" s="18">
        <v>0</v>
      </c>
      <c r="Z241" s="14">
        <v>0</v>
      </c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</row>
    <row r="242" spans="1:44">
      <c r="A242" s="3" t="s">
        <v>44</v>
      </c>
      <c r="B242" s="3" t="s">
        <v>45</v>
      </c>
      <c r="C242" s="4" t="s">
        <v>46</v>
      </c>
      <c r="D242" s="5" t="s">
        <v>53</v>
      </c>
      <c r="E242" s="29">
        <v>3</v>
      </c>
      <c r="F242" s="10"/>
      <c r="G242" s="10">
        <v>0.251</v>
      </c>
      <c r="H242" s="10"/>
      <c r="I242" s="10">
        <v>-68.026550049554</v>
      </c>
      <c r="J242" s="10">
        <v>18.7270559960357</v>
      </c>
      <c r="K242" s="14">
        <v>1</v>
      </c>
      <c r="L242" s="14">
        <v>1</v>
      </c>
      <c r="M242" s="10">
        <v>9.1113322368421</v>
      </c>
      <c r="N242" s="10">
        <v>9.876</v>
      </c>
      <c r="O242" s="14">
        <v>1</v>
      </c>
      <c r="P242" s="18">
        <v>10</v>
      </c>
      <c r="Q242" s="18">
        <v>10</v>
      </c>
      <c r="R242" s="18">
        <v>0</v>
      </c>
      <c r="S242" s="14">
        <v>0</v>
      </c>
      <c r="T242" s="10">
        <v>4.80021333333333</v>
      </c>
      <c r="U242" s="10">
        <v>5.841</v>
      </c>
      <c r="V242" s="14">
        <v>1</v>
      </c>
      <c r="W242" s="18">
        <v>10</v>
      </c>
      <c r="X242" s="18">
        <v>10</v>
      </c>
      <c r="Y242" s="18">
        <v>0</v>
      </c>
      <c r="Z242" s="14">
        <v>0</v>
      </c>
      <c r="AA242" s="10"/>
      <c r="AB242" s="10"/>
      <c r="AC242" s="14"/>
      <c r="AD242" s="14"/>
      <c r="AE242" s="10"/>
      <c r="AF242" s="10"/>
      <c r="AG242" s="14"/>
      <c r="AH242" s="18"/>
      <c r="AI242" s="18"/>
      <c r="AJ242" s="18"/>
      <c r="AK242" s="14"/>
      <c r="AL242" s="10"/>
      <c r="AM242" s="10"/>
      <c r="AN242" s="14"/>
      <c r="AO242" s="18"/>
      <c r="AP242" s="18"/>
      <c r="AQ242" s="18"/>
      <c r="AR242" s="14"/>
    </row>
    <row r="243" spans="1:44">
      <c r="A243" s="3" t="s">
        <v>51</v>
      </c>
      <c r="B243" s="5" t="s">
        <v>63</v>
      </c>
      <c r="C243" s="6" t="s">
        <v>49</v>
      </c>
      <c r="D243" s="6" t="s">
        <v>50</v>
      </c>
      <c r="E243" s="31">
        <v>2</v>
      </c>
      <c r="F243" s="11">
        <v>2.02233774805069</v>
      </c>
      <c r="G243" s="11">
        <v>0.476752777777778</v>
      </c>
      <c r="H243" s="11">
        <v>4.24190029364304</v>
      </c>
      <c r="I243" s="11">
        <v>-67.5813300429989</v>
      </c>
      <c r="J243" s="11">
        <v>7.34715983956471</v>
      </c>
      <c r="K243" s="15">
        <v>0.960805084745763</v>
      </c>
      <c r="L243" s="15">
        <v>0.960805084745763</v>
      </c>
      <c r="M243" s="11">
        <v>9.18943072777778</v>
      </c>
      <c r="N243" s="11">
        <v>10.0892</v>
      </c>
      <c r="O243" s="15">
        <v>0.997222222222222</v>
      </c>
      <c r="P243" s="19">
        <v>13</v>
      </c>
      <c r="Q243" s="19">
        <v>13</v>
      </c>
      <c r="R243" s="19">
        <v>0</v>
      </c>
      <c r="S243" s="15">
        <v>0</v>
      </c>
      <c r="T243" s="11">
        <v>4.53459093846154</v>
      </c>
      <c r="U243" s="11">
        <v>6.05578</v>
      </c>
      <c r="V243" s="15">
        <v>0.997435897435897</v>
      </c>
      <c r="W243" s="19">
        <v>13</v>
      </c>
      <c r="X243" s="19">
        <v>13</v>
      </c>
      <c r="Y243" s="19">
        <v>0</v>
      </c>
      <c r="Z243" s="15">
        <v>0</v>
      </c>
      <c r="AA243" s="11">
        <v>-67.342926141773</v>
      </c>
      <c r="AB243" s="11">
        <v>7.43372800353681</v>
      </c>
      <c r="AC243" s="15">
        <v>1</v>
      </c>
      <c r="AD243" s="15">
        <v>1</v>
      </c>
      <c r="AE243" s="11">
        <v>9.39094940995874</v>
      </c>
      <c r="AF243" s="11">
        <v>9.9959305</v>
      </c>
      <c r="AG243" s="15">
        <v>1</v>
      </c>
      <c r="AH243" s="19">
        <v>13</v>
      </c>
      <c r="AI243" s="19">
        <v>13</v>
      </c>
      <c r="AJ243" s="19">
        <v>0</v>
      </c>
      <c r="AK243" s="15">
        <v>0</v>
      </c>
      <c r="AL243" s="11">
        <v>4.50805744767198</v>
      </c>
      <c r="AM243" s="11">
        <v>4.80444875</v>
      </c>
      <c r="AN243" s="15">
        <v>1</v>
      </c>
      <c r="AO243" s="19">
        <v>13</v>
      </c>
      <c r="AP243" s="19">
        <v>13</v>
      </c>
      <c r="AQ243" s="19">
        <v>0</v>
      </c>
      <c r="AR243" s="15">
        <v>0</v>
      </c>
    </row>
    <row r="244" spans="1:44">
      <c r="A244" s="3" t="s">
        <v>51</v>
      </c>
      <c r="B244" s="4" t="s">
        <v>58</v>
      </c>
      <c r="C244" s="5" t="s">
        <v>46</v>
      </c>
      <c r="D244" s="6" t="s">
        <v>53</v>
      </c>
      <c r="E244" s="30">
        <v>2</v>
      </c>
      <c r="F244" s="11" t="s">
        <v>54</v>
      </c>
      <c r="G244" s="11">
        <v>0.393616666666667</v>
      </c>
      <c r="H244" s="11" t="s">
        <v>54</v>
      </c>
      <c r="I244" s="11">
        <v>-67.5063586877383</v>
      </c>
      <c r="J244" s="11">
        <v>21.1216090056005</v>
      </c>
      <c r="K244" s="15">
        <v>1</v>
      </c>
      <c r="L244" s="15">
        <v>1</v>
      </c>
      <c r="M244" s="11">
        <v>8.71556900666667</v>
      </c>
      <c r="N244" s="11">
        <v>9.81611</v>
      </c>
      <c r="O244" s="15">
        <v>1</v>
      </c>
      <c r="P244" s="19">
        <v>10</v>
      </c>
      <c r="Q244" s="19">
        <v>10</v>
      </c>
      <c r="R244" s="19">
        <v>0</v>
      </c>
      <c r="S244" s="15">
        <v>0</v>
      </c>
      <c r="T244" s="11">
        <v>4.88342061</v>
      </c>
      <c r="U244" s="11">
        <v>7.06118</v>
      </c>
      <c r="V244" s="15">
        <v>0.996666666666667</v>
      </c>
      <c r="W244" s="19">
        <v>10</v>
      </c>
      <c r="X244" s="19">
        <v>10</v>
      </c>
      <c r="Y244" s="19">
        <v>0</v>
      </c>
      <c r="Z244" s="15">
        <v>0</v>
      </c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</row>
    <row r="245" spans="1:44">
      <c r="A245" s="3" t="s">
        <v>44</v>
      </c>
      <c r="B245" s="7" t="s">
        <v>60</v>
      </c>
      <c r="C245" s="4" t="s">
        <v>46</v>
      </c>
      <c r="D245" s="5" t="s">
        <v>57</v>
      </c>
      <c r="E245" s="29">
        <v>3</v>
      </c>
      <c r="F245" s="10"/>
      <c r="G245" s="10">
        <v>0.242</v>
      </c>
      <c r="H245" s="10"/>
      <c r="I245" s="10">
        <v>-64.84673275069</v>
      </c>
      <c r="J245" s="10">
        <v>20.3954728610856</v>
      </c>
      <c r="K245" s="14">
        <v>1</v>
      </c>
      <c r="L245" s="14">
        <v>1</v>
      </c>
      <c r="M245" s="10">
        <v>9.71813486842105</v>
      </c>
      <c r="N245" s="10">
        <v>9.935</v>
      </c>
      <c r="O245" s="14">
        <v>1</v>
      </c>
      <c r="P245" s="18">
        <v>10</v>
      </c>
      <c r="Q245" s="18">
        <v>10</v>
      </c>
      <c r="R245" s="18">
        <v>0</v>
      </c>
      <c r="S245" s="14">
        <v>0</v>
      </c>
      <c r="T245" s="10">
        <v>5.16526245847176</v>
      </c>
      <c r="U245" s="10">
        <v>6.12</v>
      </c>
      <c r="V245" s="14">
        <v>0.996677740863787</v>
      </c>
      <c r="W245" s="18">
        <v>10</v>
      </c>
      <c r="X245" s="18">
        <v>10</v>
      </c>
      <c r="Y245" s="18">
        <v>0</v>
      </c>
      <c r="Z245" s="14">
        <v>0</v>
      </c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</row>
    <row r="246" spans="1:44">
      <c r="A246" s="3" t="s">
        <v>44</v>
      </c>
      <c r="B246" s="3" t="s">
        <v>48</v>
      </c>
      <c r="C246" s="4" t="s">
        <v>46</v>
      </c>
      <c r="D246" s="5" t="s">
        <v>57</v>
      </c>
      <c r="E246" s="29">
        <v>1</v>
      </c>
      <c r="F246" s="10"/>
      <c r="G246" s="10">
        <v>0.238</v>
      </c>
      <c r="H246" s="10"/>
      <c r="I246" s="10">
        <v>-64.3784567352666</v>
      </c>
      <c r="J246" s="10">
        <v>23.7834679607109</v>
      </c>
      <c r="K246" s="14">
        <v>1</v>
      </c>
      <c r="L246" s="14">
        <v>1</v>
      </c>
      <c r="M246" s="10">
        <v>8.95002310231023</v>
      </c>
      <c r="N246" s="10">
        <v>9.508</v>
      </c>
      <c r="O246" s="14">
        <v>0.993399339933993</v>
      </c>
      <c r="P246" s="18">
        <v>10</v>
      </c>
      <c r="Q246" s="18">
        <v>10</v>
      </c>
      <c r="R246" s="18">
        <v>0</v>
      </c>
      <c r="S246" s="14">
        <v>0</v>
      </c>
      <c r="T246" s="10">
        <v>5.06909666666667</v>
      </c>
      <c r="U246" s="10">
        <v>6.078</v>
      </c>
      <c r="V246" s="14">
        <v>1</v>
      </c>
      <c r="W246" s="18">
        <v>10</v>
      </c>
      <c r="X246" s="18">
        <v>10</v>
      </c>
      <c r="Y246" s="18">
        <v>0</v>
      </c>
      <c r="Z246" s="14">
        <v>0</v>
      </c>
      <c r="AA246" s="10"/>
      <c r="AB246" s="10"/>
      <c r="AC246" s="14"/>
      <c r="AD246" s="14"/>
      <c r="AE246" s="10"/>
      <c r="AF246" s="10"/>
      <c r="AG246" s="14"/>
      <c r="AH246" s="18"/>
      <c r="AI246" s="18"/>
      <c r="AJ246" s="18"/>
      <c r="AK246" s="14"/>
      <c r="AL246" s="10"/>
      <c r="AM246" s="10"/>
      <c r="AN246" s="14"/>
      <c r="AO246" s="18"/>
      <c r="AP246" s="18"/>
      <c r="AQ246" s="18"/>
      <c r="AR246" s="14"/>
    </row>
    <row r="247" spans="1:44">
      <c r="A247" s="3" t="s">
        <v>51</v>
      </c>
      <c r="B247" s="6" t="s">
        <v>55</v>
      </c>
      <c r="C247" s="6" t="s">
        <v>46</v>
      </c>
      <c r="D247" s="6" t="s">
        <v>47</v>
      </c>
      <c r="E247" s="32">
        <v>2</v>
      </c>
      <c r="F247" s="12" t="s">
        <v>54</v>
      </c>
      <c r="G247" s="12">
        <v>0.394969444444444</v>
      </c>
      <c r="H247" s="12" t="s">
        <v>54</v>
      </c>
      <c r="I247" s="12">
        <v>-64.2982877882427</v>
      </c>
      <c r="J247" s="12">
        <v>9.8968856640639</v>
      </c>
      <c r="K247" s="16">
        <v>1</v>
      </c>
      <c r="L247" s="16">
        <v>1</v>
      </c>
      <c r="M247" s="12">
        <v>7.63411354666667</v>
      </c>
      <c r="N247" s="12">
        <v>9.7573</v>
      </c>
      <c r="O247" s="16">
        <v>1</v>
      </c>
      <c r="P247" s="20">
        <v>10</v>
      </c>
      <c r="Q247" s="20">
        <v>10</v>
      </c>
      <c r="R247" s="20">
        <v>0</v>
      </c>
      <c r="S247" s="16">
        <v>0</v>
      </c>
      <c r="T247" s="12">
        <v>4.68990975333333</v>
      </c>
      <c r="U247" s="12">
        <v>6.09218</v>
      </c>
      <c r="V247" s="16">
        <v>0.996666666666667</v>
      </c>
      <c r="W247" s="20">
        <v>10</v>
      </c>
      <c r="X247" s="20">
        <v>10</v>
      </c>
      <c r="Y247" s="20">
        <v>0</v>
      </c>
      <c r="Z247" s="16">
        <v>0</v>
      </c>
      <c r="AA247" s="12"/>
      <c r="AB247" s="12"/>
      <c r="AC247" s="16"/>
      <c r="AD247" s="16"/>
      <c r="AE247" s="12"/>
      <c r="AF247" s="12"/>
      <c r="AG247" s="16"/>
      <c r="AH247" s="20"/>
      <c r="AI247" s="20"/>
      <c r="AJ247" s="20"/>
      <c r="AK247" s="16"/>
      <c r="AL247" s="12"/>
      <c r="AM247" s="12"/>
      <c r="AN247" s="16"/>
      <c r="AO247" s="20"/>
      <c r="AP247" s="20"/>
      <c r="AQ247" s="20"/>
      <c r="AR247" s="16"/>
    </row>
    <row r="248" spans="1:44">
      <c r="A248" s="3" t="s">
        <v>44</v>
      </c>
      <c r="B248" s="3" t="s">
        <v>45</v>
      </c>
      <c r="C248" s="4" t="s">
        <v>46</v>
      </c>
      <c r="D248" s="5" t="s">
        <v>53</v>
      </c>
      <c r="E248" s="29">
        <v>2</v>
      </c>
      <c r="F248" s="10"/>
      <c r="G248" s="10">
        <v>0.244</v>
      </c>
      <c r="H248" s="10"/>
      <c r="I248" s="10">
        <v>-63.9154858875671</v>
      </c>
      <c r="J248" s="10">
        <v>15.3553039421507</v>
      </c>
      <c r="K248" s="14">
        <v>1</v>
      </c>
      <c r="L248" s="14">
        <v>1</v>
      </c>
      <c r="M248" s="10">
        <v>9.23439672131147</v>
      </c>
      <c r="N248" s="10">
        <v>9.886</v>
      </c>
      <c r="O248" s="14">
        <v>1</v>
      </c>
      <c r="P248" s="18">
        <v>10</v>
      </c>
      <c r="Q248" s="18">
        <v>10</v>
      </c>
      <c r="R248" s="18">
        <v>0</v>
      </c>
      <c r="S248" s="14">
        <v>0</v>
      </c>
      <c r="T248" s="10">
        <v>4.88161333333333</v>
      </c>
      <c r="U248" s="10">
        <v>5.87</v>
      </c>
      <c r="V248" s="14">
        <v>1</v>
      </c>
      <c r="W248" s="18">
        <v>10</v>
      </c>
      <c r="X248" s="18">
        <v>10</v>
      </c>
      <c r="Y248" s="18">
        <v>0</v>
      </c>
      <c r="Z248" s="14">
        <v>0</v>
      </c>
      <c r="AA248" s="10"/>
      <c r="AB248" s="10"/>
      <c r="AC248" s="14"/>
      <c r="AD248" s="14"/>
      <c r="AE248" s="10"/>
      <c r="AF248" s="10"/>
      <c r="AG248" s="14"/>
      <c r="AH248" s="18"/>
      <c r="AI248" s="18"/>
      <c r="AJ248" s="18"/>
      <c r="AK248" s="14"/>
      <c r="AL248" s="10"/>
      <c r="AM248" s="10"/>
      <c r="AN248" s="14"/>
      <c r="AO248" s="18"/>
      <c r="AP248" s="18"/>
      <c r="AQ248" s="18"/>
      <c r="AR248" s="14"/>
    </row>
    <row r="249" spans="1:44">
      <c r="A249" s="3" t="s">
        <v>51</v>
      </c>
      <c r="B249" s="4" t="s">
        <v>58</v>
      </c>
      <c r="C249" s="5" t="s">
        <v>46</v>
      </c>
      <c r="D249" s="6" t="s">
        <v>53</v>
      </c>
      <c r="E249" s="30">
        <v>3</v>
      </c>
      <c r="F249" s="11" t="s">
        <v>54</v>
      </c>
      <c r="G249" s="11">
        <v>0.393808333333333</v>
      </c>
      <c r="H249" s="11" t="s">
        <v>54</v>
      </c>
      <c r="I249" s="11">
        <v>-63.7824196848515</v>
      </c>
      <c r="J249" s="11">
        <v>21.0789539122013</v>
      </c>
      <c r="K249" s="15">
        <v>0.999010600706714</v>
      </c>
      <c r="L249" s="15">
        <v>0.999010600706714</v>
      </c>
      <c r="M249" s="11">
        <v>8.85124283666667</v>
      </c>
      <c r="N249" s="11">
        <v>9.92597</v>
      </c>
      <c r="O249" s="15">
        <v>1</v>
      </c>
      <c r="P249" s="19">
        <v>10</v>
      </c>
      <c r="Q249" s="19">
        <v>10</v>
      </c>
      <c r="R249" s="19">
        <v>0</v>
      </c>
      <c r="S249" s="15">
        <v>0</v>
      </c>
      <c r="T249" s="11">
        <v>4.24491173</v>
      </c>
      <c r="U249" s="11">
        <v>5.79477</v>
      </c>
      <c r="V249" s="15">
        <v>1</v>
      </c>
      <c r="W249" s="19">
        <v>10</v>
      </c>
      <c r="X249" s="19">
        <v>10</v>
      </c>
      <c r="Y249" s="19">
        <v>0</v>
      </c>
      <c r="Z249" s="15">
        <v>0</v>
      </c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</row>
    <row r="250" spans="1:44">
      <c r="A250" s="3" t="s">
        <v>51</v>
      </c>
      <c r="B250" s="6" t="s">
        <v>55</v>
      </c>
      <c r="C250" s="6" t="s">
        <v>49</v>
      </c>
      <c r="D250" s="6" t="s">
        <v>50</v>
      </c>
      <c r="E250" s="34">
        <v>1</v>
      </c>
      <c r="F250" s="11">
        <v>5.16537125635147</v>
      </c>
      <c r="G250" s="11">
        <v>0.448333333333333</v>
      </c>
      <c r="H250" s="11">
        <v>11.5212741777356</v>
      </c>
      <c r="I250" s="11">
        <v>-63.4704260830879</v>
      </c>
      <c r="J250" s="11">
        <v>15.4706206873434</v>
      </c>
      <c r="K250" s="15">
        <v>0.98725</v>
      </c>
      <c r="L250" s="15">
        <v>0.98725</v>
      </c>
      <c r="M250" s="11">
        <v>6.93013450833333</v>
      </c>
      <c r="N250" s="11">
        <v>8.60016</v>
      </c>
      <c r="O250" s="15">
        <v>0.997222222222222</v>
      </c>
      <c r="P250" s="19">
        <v>12</v>
      </c>
      <c r="Q250" s="19">
        <v>12</v>
      </c>
      <c r="R250" s="19">
        <v>0</v>
      </c>
      <c r="S250" s="15">
        <v>0</v>
      </c>
      <c r="T250" s="11">
        <v>3.88060703055556</v>
      </c>
      <c r="U250" s="11">
        <v>4.25651</v>
      </c>
      <c r="V250" s="15">
        <v>1</v>
      </c>
      <c r="W250" s="19">
        <v>12</v>
      </c>
      <c r="X250" s="19">
        <v>12</v>
      </c>
      <c r="Y250" s="19">
        <v>0</v>
      </c>
      <c r="Z250" s="15">
        <v>0</v>
      </c>
      <c r="AA250" s="11">
        <v>-64.8344509391002</v>
      </c>
      <c r="AB250" s="11">
        <v>15.0646293377798</v>
      </c>
      <c r="AC250" s="15">
        <v>0.987704918032787</v>
      </c>
      <c r="AD250" s="15">
        <v>0.987704918032787</v>
      </c>
      <c r="AE250" s="11">
        <v>6.87979774621095</v>
      </c>
      <c r="AF250" s="11">
        <v>8.077057</v>
      </c>
      <c r="AG250" s="15">
        <v>1</v>
      </c>
      <c r="AH250" s="19">
        <v>12</v>
      </c>
      <c r="AI250" s="19">
        <v>12</v>
      </c>
      <c r="AJ250" s="19">
        <v>0</v>
      </c>
      <c r="AK250" s="15">
        <v>0</v>
      </c>
      <c r="AL250" s="11">
        <v>3.8637875297381</v>
      </c>
      <c r="AM250" s="11">
        <v>4.22949128571429</v>
      </c>
      <c r="AN250" s="15">
        <v>1</v>
      </c>
      <c r="AO250" s="19">
        <v>12</v>
      </c>
      <c r="AP250" s="19">
        <v>12</v>
      </c>
      <c r="AQ250" s="19">
        <v>0</v>
      </c>
      <c r="AR250" s="15">
        <v>0</v>
      </c>
    </row>
    <row r="251" spans="1:44">
      <c r="A251" s="3" t="s">
        <v>51</v>
      </c>
      <c r="B251" s="4" t="s">
        <v>58</v>
      </c>
      <c r="C251" s="5" t="s">
        <v>46</v>
      </c>
      <c r="D251" s="6" t="s">
        <v>65</v>
      </c>
      <c r="E251" s="30">
        <v>3</v>
      </c>
      <c r="F251" s="11" t="s">
        <v>54</v>
      </c>
      <c r="G251" s="11">
        <v>0.393872222222222</v>
      </c>
      <c r="H251" s="11" t="s">
        <v>54</v>
      </c>
      <c r="I251" s="11">
        <v>-62.7614495925839</v>
      </c>
      <c r="J251" s="11">
        <v>16.6456544969232</v>
      </c>
      <c r="K251" s="15">
        <v>1</v>
      </c>
      <c r="L251" s="15">
        <v>1</v>
      </c>
      <c r="M251" s="11">
        <v>5.97020846</v>
      </c>
      <c r="N251" s="11">
        <v>8.9403</v>
      </c>
      <c r="O251" s="15">
        <v>0.856666666666667</v>
      </c>
      <c r="P251" s="19">
        <v>10</v>
      </c>
      <c r="Q251" s="19">
        <v>10</v>
      </c>
      <c r="R251" s="19">
        <v>0</v>
      </c>
      <c r="S251" s="15">
        <v>0</v>
      </c>
      <c r="T251" s="11">
        <v>4.66004889666667</v>
      </c>
      <c r="U251" s="11">
        <v>6.03175</v>
      </c>
      <c r="V251" s="15">
        <v>0.996666666666667</v>
      </c>
      <c r="W251" s="19">
        <v>10</v>
      </c>
      <c r="X251" s="19">
        <v>10</v>
      </c>
      <c r="Y251" s="19">
        <v>0</v>
      </c>
      <c r="Z251" s="15">
        <v>0</v>
      </c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</row>
    <row r="252" spans="1:44">
      <c r="A252" s="3" t="s">
        <v>44</v>
      </c>
      <c r="B252" s="3" t="s">
        <v>59</v>
      </c>
      <c r="C252" s="4" t="s">
        <v>46</v>
      </c>
      <c r="D252" s="5" t="s">
        <v>53</v>
      </c>
      <c r="E252" s="29">
        <v>1</v>
      </c>
      <c r="F252" s="10"/>
      <c r="G252" s="10">
        <v>0.237</v>
      </c>
      <c r="H252" s="10"/>
      <c r="I252" s="10">
        <v>-62.7025268842451</v>
      </c>
      <c r="J252" s="10">
        <v>17.8202263442123</v>
      </c>
      <c r="K252" s="14">
        <v>1</v>
      </c>
      <c r="L252" s="14">
        <v>1</v>
      </c>
      <c r="M252" s="10">
        <v>8.24294098360656</v>
      </c>
      <c r="N252" s="10">
        <v>8.644</v>
      </c>
      <c r="O252" s="14">
        <v>0.99672131147541</v>
      </c>
      <c r="P252" s="18">
        <v>10</v>
      </c>
      <c r="Q252" s="18">
        <v>10</v>
      </c>
      <c r="R252" s="18">
        <v>0</v>
      </c>
      <c r="S252" s="14">
        <v>0</v>
      </c>
      <c r="T252" s="10">
        <v>5.08385333333333</v>
      </c>
      <c r="U252" s="10">
        <v>6.105</v>
      </c>
      <c r="V252" s="14">
        <v>1</v>
      </c>
      <c r="W252" s="18">
        <v>10</v>
      </c>
      <c r="X252" s="18">
        <v>10</v>
      </c>
      <c r="Y252" s="18">
        <v>0</v>
      </c>
      <c r="Z252" s="14">
        <v>0</v>
      </c>
      <c r="AA252" s="10"/>
      <c r="AB252" s="10"/>
      <c r="AC252" s="14"/>
      <c r="AD252" s="14"/>
      <c r="AE252" s="10"/>
      <c r="AF252" s="10"/>
      <c r="AG252" s="14"/>
      <c r="AH252" s="18"/>
      <c r="AI252" s="18"/>
      <c r="AJ252" s="18"/>
      <c r="AK252" s="14"/>
      <c r="AL252" s="10"/>
      <c r="AM252" s="10"/>
      <c r="AN252" s="14"/>
      <c r="AO252" s="18"/>
      <c r="AP252" s="18"/>
      <c r="AQ252" s="18"/>
      <c r="AR252" s="14"/>
    </row>
    <row r="253" spans="1:44">
      <c r="A253" s="3" t="s">
        <v>51</v>
      </c>
      <c r="B253" s="5" t="s">
        <v>63</v>
      </c>
      <c r="C253" s="5" t="s">
        <v>46</v>
      </c>
      <c r="D253" s="5" t="s">
        <v>57</v>
      </c>
      <c r="E253" s="31">
        <v>1</v>
      </c>
      <c r="F253" s="11" t="s">
        <v>54</v>
      </c>
      <c r="G253" s="11">
        <v>0.372325</v>
      </c>
      <c r="H253" s="11" t="s">
        <v>54</v>
      </c>
      <c r="I253" s="11">
        <v>-61.4736154661875</v>
      </c>
      <c r="J253" s="11">
        <v>22.6689646939629</v>
      </c>
      <c r="K253" s="15">
        <v>1</v>
      </c>
      <c r="L253" s="15">
        <v>1</v>
      </c>
      <c r="M253" s="11">
        <v>6.58037721</v>
      </c>
      <c r="N253" s="11">
        <v>6.99738</v>
      </c>
      <c r="O253" s="15">
        <v>1</v>
      </c>
      <c r="P253" s="19">
        <v>10</v>
      </c>
      <c r="Q253" s="19">
        <v>10</v>
      </c>
      <c r="R253" s="19">
        <v>0</v>
      </c>
      <c r="S253" s="15">
        <v>0</v>
      </c>
      <c r="T253" s="11">
        <v>0.948635106666667</v>
      </c>
      <c r="U253" s="11">
        <v>0.979657</v>
      </c>
      <c r="V253" s="15">
        <v>1</v>
      </c>
      <c r="W253" s="19">
        <v>10</v>
      </c>
      <c r="X253" s="19">
        <v>10</v>
      </c>
      <c r="Y253" s="19">
        <v>0</v>
      </c>
      <c r="Z253" s="15">
        <v>0</v>
      </c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</row>
    <row r="254" spans="1:44">
      <c r="A254" s="3" t="s">
        <v>44</v>
      </c>
      <c r="B254" s="3" t="s">
        <v>45</v>
      </c>
      <c r="C254" s="4" t="s">
        <v>46</v>
      </c>
      <c r="D254" s="5" t="s">
        <v>53</v>
      </c>
      <c r="E254" s="29">
        <v>3</v>
      </c>
      <c r="F254" s="10"/>
      <c r="G254" s="10">
        <v>0.244</v>
      </c>
      <c r="H254" s="10"/>
      <c r="I254" s="10">
        <v>-59.9982081879507</v>
      </c>
      <c r="J254" s="10">
        <v>19.7035012793673</v>
      </c>
      <c r="K254" s="14">
        <v>1</v>
      </c>
      <c r="L254" s="14">
        <v>1</v>
      </c>
      <c r="M254" s="10">
        <v>9.34381967213115</v>
      </c>
      <c r="N254" s="10">
        <v>9.906</v>
      </c>
      <c r="O254" s="14">
        <v>1</v>
      </c>
      <c r="P254" s="18">
        <v>10</v>
      </c>
      <c r="Q254" s="18">
        <v>10</v>
      </c>
      <c r="R254" s="18">
        <v>0</v>
      </c>
      <c r="S254" s="14">
        <v>0</v>
      </c>
      <c r="T254" s="10">
        <v>4.95039333333333</v>
      </c>
      <c r="U254" s="10">
        <v>5.967</v>
      </c>
      <c r="V254" s="14">
        <v>1</v>
      </c>
      <c r="W254" s="18">
        <v>10</v>
      </c>
      <c r="X254" s="18">
        <v>10</v>
      </c>
      <c r="Y254" s="18">
        <v>0</v>
      </c>
      <c r="Z254" s="14">
        <v>0</v>
      </c>
      <c r="AA254" s="10"/>
      <c r="AB254" s="10"/>
      <c r="AC254" s="14"/>
      <c r="AD254" s="14"/>
      <c r="AE254" s="10"/>
      <c r="AF254" s="10"/>
      <c r="AG254" s="14"/>
      <c r="AH254" s="18"/>
      <c r="AI254" s="18"/>
      <c r="AJ254" s="18"/>
      <c r="AK254" s="14"/>
      <c r="AL254" s="10"/>
      <c r="AM254" s="10"/>
      <c r="AN254" s="14"/>
      <c r="AO254" s="18"/>
      <c r="AP254" s="18"/>
      <c r="AQ254" s="18"/>
      <c r="AR254" s="14"/>
    </row>
    <row r="255" spans="1:44">
      <c r="A255" s="3" t="s">
        <v>51</v>
      </c>
      <c r="B255" s="4" t="s">
        <v>58</v>
      </c>
      <c r="C255" s="6" t="s">
        <v>49</v>
      </c>
      <c r="D255" s="6" t="s">
        <v>50</v>
      </c>
      <c r="E255" s="30">
        <v>1</v>
      </c>
      <c r="F255" s="11">
        <v>5.40014562910795</v>
      </c>
      <c r="G255" s="11">
        <v>0.647658333333333</v>
      </c>
      <c r="H255" s="11">
        <v>8.33795436756719</v>
      </c>
      <c r="I255" s="11">
        <v>-59.4983449028597</v>
      </c>
      <c r="J255" s="11">
        <v>7.15903057436561</v>
      </c>
      <c r="K255" s="15">
        <v>0.97608190656457</v>
      </c>
      <c r="L255" s="15">
        <v>0.97608190656457</v>
      </c>
      <c r="M255" s="11">
        <v>7.29063669019608</v>
      </c>
      <c r="N255" s="11">
        <v>8.62328</v>
      </c>
      <c r="O255" s="15">
        <v>0.970588235294118</v>
      </c>
      <c r="P255" s="19">
        <v>17</v>
      </c>
      <c r="Q255" s="19">
        <v>17</v>
      </c>
      <c r="R255" s="19">
        <v>0</v>
      </c>
      <c r="S255" s="15">
        <v>0</v>
      </c>
      <c r="T255" s="11">
        <v>4.39709558039216</v>
      </c>
      <c r="U255" s="11">
        <v>5.14056</v>
      </c>
      <c r="V255" s="15">
        <v>1</v>
      </c>
      <c r="W255" s="19">
        <v>17</v>
      </c>
      <c r="X255" s="19">
        <v>17</v>
      </c>
      <c r="Y255" s="19">
        <v>0</v>
      </c>
      <c r="Z255" s="15">
        <v>0</v>
      </c>
      <c r="AA255" s="11">
        <v>-59.7983651643664</v>
      </c>
      <c r="AB255" s="11">
        <v>7.28402318749327</v>
      </c>
      <c r="AC255" s="15">
        <v>0.982142857142857</v>
      </c>
      <c r="AD255" s="15">
        <v>0.982142857142857</v>
      </c>
      <c r="AE255" s="11">
        <v>7.17793035510172</v>
      </c>
      <c r="AF255" s="11">
        <v>8.4927432</v>
      </c>
      <c r="AG255" s="15">
        <v>0.967213114754098</v>
      </c>
      <c r="AH255" s="19">
        <v>17</v>
      </c>
      <c r="AI255" s="19">
        <v>17</v>
      </c>
      <c r="AJ255" s="19">
        <v>0</v>
      </c>
      <c r="AK255" s="15">
        <v>0</v>
      </c>
      <c r="AL255" s="11">
        <v>4.41837348024062</v>
      </c>
      <c r="AM255" s="11">
        <v>4.83835333333333</v>
      </c>
      <c r="AN255" s="15">
        <v>1</v>
      </c>
      <c r="AO255" s="19">
        <v>17</v>
      </c>
      <c r="AP255" s="19">
        <v>17</v>
      </c>
      <c r="AQ255" s="19">
        <v>0</v>
      </c>
      <c r="AR255" s="15">
        <v>0</v>
      </c>
    </row>
    <row r="256" spans="1:44">
      <c r="A256" s="3" t="s">
        <v>44</v>
      </c>
      <c r="B256" s="7" t="s">
        <v>60</v>
      </c>
      <c r="C256" s="4" t="s">
        <v>46</v>
      </c>
      <c r="D256" s="5" t="s">
        <v>57</v>
      </c>
      <c r="E256" s="29">
        <v>2</v>
      </c>
      <c r="F256" s="10"/>
      <c r="G256" s="10">
        <v>0.242</v>
      </c>
      <c r="H256" s="10"/>
      <c r="I256" s="10">
        <v>-59.3703464566929</v>
      </c>
      <c r="J256" s="10">
        <v>17.8341824918944</v>
      </c>
      <c r="K256" s="14">
        <v>1</v>
      </c>
      <c r="L256" s="14">
        <v>1</v>
      </c>
      <c r="M256" s="10">
        <v>9.18748684210526</v>
      </c>
      <c r="N256" s="10">
        <v>9.86</v>
      </c>
      <c r="O256" s="14">
        <v>1</v>
      </c>
      <c r="P256" s="18">
        <v>10</v>
      </c>
      <c r="Q256" s="18">
        <v>10</v>
      </c>
      <c r="R256" s="18">
        <v>0</v>
      </c>
      <c r="S256" s="14">
        <v>0</v>
      </c>
      <c r="T256" s="10">
        <v>4.90811333333333</v>
      </c>
      <c r="U256" s="10">
        <v>5.958</v>
      </c>
      <c r="V256" s="14">
        <v>1</v>
      </c>
      <c r="W256" s="18">
        <v>10</v>
      </c>
      <c r="X256" s="18">
        <v>10</v>
      </c>
      <c r="Y256" s="18">
        <v>0</v>
      </c>
      <c r="Z256" s="14">
        <v>0</v>
      </c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</row>
    <row r="257" spans="1:44">
      <c r="A257" s="3" t="s">
        <v>51</v>
      </c>
      <c r="B257" s="4" t="s">
        <v>62</v>
      </c>
      <c r="C257" s="4" t="s">
        <v>46</v>
      </c>
      <c r="D257" s="4" t="s">
        <v>57</v>
      </c>
      <c r="E257" s="31">
        <v>1</v>
      </c>
      <c r="F257" s="11" t="s">
        <v>54</v>
      </c>
      <c r="G257" s="11">
        <v>0.375169444444444</v>
      </c>
      <c r="H257" s="11" t="s">
        <v>54</v>
      </c>
      <c r="I257" s="11">
        <v>-57.415419933965</v>
      </c>
      <c r="J257" s="11">
        <v>27.2520703574745</v>
      </c>
      <c r="K257" s="15">
        <v>1</v>
      </c>
      <c r="L257" s="15">
        <v>1</v>
      </c>
      <c r="M257" s="11">
        <v>6.7330385037037</v>
      </c>
      <c r="N257" s="11">
        <v>8.57108</v>
      </c>
      <c r="O257" s="15">
        <v>0.996296296296296</v>
      </c>
      <c r="P257" s="19">
        <v>10</v>
      </c>
      <c r="Q257" s="19">
        <v>9</v>
      </c>
      <c r="R257" s="19">
        <v>0</v>
      </c>
      <c r="S257" s="15">
        <v>0</v>
      </c>
      <c r="T257" s="11">
        <v>4.68723211333333</v>
      </c>
      <c r="U257" s="11">
        <v>6.35551</v>
      </c>
      <c r="V257" s="15">
        <v>1</v>
      </c>
      <c r="W257" s="19">
        <v>10</v>
      </c>
      <c r="X257" s="19">
        <v>10</v>
      </c>
      <c r="Y257" s="19">
        <v>0</v>
      </c>
      <c r="Z257" s="15">
        <v>0</v>
      </c>
      <c r="AA257" s="11"/>
      <c r="AB257" s="11"/>
      <c r="AC257" s="15"/>
      <c r="AD257" s="15"/>
      <c r="AE257" s="11"/>
      <c r="AF257" s="11"/>
      <c r="AG257" s="15"/>
      <c r="AH257" s="19"/>
      <c r="AI257" s="19"/>
      <c r="AJ257" s="19"/>
      <c r="AK257" s="15"/>
      <c r="AL257" s="11"/>
      <c r="AM257" s="11"/>
      <c r="AN257" s="15"/>
      <c r="AO257" s="19"/>
      <c r="AP257" s="19"/>
      <c r="AQ257" s="19"/>
      <c r="AR257" s="15"/>
    </row>
    <row r="258" spans="1:44">
      <c r="A258" s="3" t="s">
        <v>51</v>
      </c>
      <c r="B258" s="4" t="s">
        <v>58</v>
      </c>
      <c r="C258" s="6" t="s">
        <v>49</v>
      </c>
      <c r="D258" s="6" t="s">
        <v>61</v>
      </c>
      <c r="E258" s="30">
        <v>1</v>
      </c>
      <c r="F258" s="11">
        <v>2.05959138828516</v>
      </c>
      <c r="G258" s="11">
        <v>0.317383333333333</v>
      </c>
      <c r="H258" s="11">
        <v>6.48928652508059</v>
      </c>
      <c r="I258" s="11">
        <v>-55.8846608162428</v>
      </c>
      <c r="J258" s="11">
        <v>17.222540604459</v>
      </c>
      <c r="K258" s="15">
        <v>0.995962787431982</v>
      </c>
      <c r="L258" s="15">
        <v>0.995962787431982</v>
      </c>
      <c r="M258" s="11">
        <v>7.9114660543933</v>
      </c>
      <c r="N258" s="11">
        <v>9.52903</v>
      </c>
      <c r="O258" s="15">
        <v>0.99581589958159</v>
      </c>
      <c r="P258" s="19">
        <v>8</v>
      </c>
      <c r="Q258" s="19">
        <v>8</v>
      </c>
      <c r="R258" s="19">
        <v>0</v>
      </c>
      <c r="S258" s="15">
        <v>0</v>
      </c>
      <c r="T258" s="11">
        <v>4.67869345833333</v>
      </c>
      <c r="U258" s="11">
        <v>6.39361</v>
      </c>
      <c r="V258" s="15">
        <v>1</v>
      </c>
      <c r="W258" s="19">
        <v>8</v>
      </c>
      <c r="X258" s="19">
        <v>8</v>
      </c>
      <c r="Y258" s="19">
        <v>0</v>
      </c>
      <c r="Z258" s="15">
        <v>0</v>
      </c>
      <c r="AA258" s="11">
        <v>-62.4906714579894</v>
      </c>
      <c r="AB258" s="11">
        <v>12.9656273133703</v>
      </c>
      <c r="AC258" s="15">
        <v>0.989795918367347</v>
      </c>
      <c r="AD258" s="15">
        <v>0.989795918367347</v>
      </c>
      <c r="AE258" s="11">
        <v>7.44889074277778</v>
      </c>
      <c r="AF258" s="11">
        <v>8.90135033333333</v>
      </c>
      <c r="AG258" s="15">
        <v>1</v>
      </c>
      <c r="AH258" s="19">
        <v>8</v>
      </c>
      <c r="AI258" s="19">
        <v>8</v>
      </c>
      <c r="AJ258" s="19">
        <v>0</v>
      </c>
      <c r="AK258" s="15">
        <v>0</v>
      </c>
      <c r="AL258" s="11">
        <v>4.55367604905899</v>
      </c>
      <c r="AM258" s="11">
        <v>5.5090875</v>
      </c>
      <c r="AN258" s="15">
        <v>1</v>
      </c>
      <c r="AO258" s="19">
        <v>8</v>
      </c>
      <c r="AP258" s="19">
        <v>8</v>
      </c>
      <c r="AQ258" s="19">
        <v>0</v>
      </c>
      <c r="AR258" s="15">
        <v>0</v>
      </c>
    </row>
    <row r="259" spans="1:44">
      <c r="A259" s="3" t="s">
        <v>51</v>
      </c>
      <c r="B259" s="4" t="s">
        <v>58</v>
      </c>
      <c r="C259" s="5" t="s">
        <v>46</v>
      </c>
      <c r="D259" s="6" t="s">
        <v>65</v>
      </c>
      <c r="E259" s="30">
        <v>1</v>
      </c>
      <c r="F259" s="11" t="s">
        <v>54</v>
      </c>
      <c r="G259" s="11">
        <v>0.394047222222222</v>
      </c>
      <c r="H259" s="11" t="s">
        <v>54</v>
      </c>
      <c r="I259" s="11">
        <v>-46.8649836549366</v>
      </c>
      <c r="J259" s="11">
        <v>26.2584475303732</v>
      </c>
      <c r="K259" s="15">
        <v>1</v>
      </c>
      <c r="L259" s="15">
        <v>1</v>
      </c>
      <c r="M259" s="11">
        <v>8.44124557333333</v>
      </c>
      <c r="N259" s="11">
        <v>9.03373</v>
      </c>
      <c r="O259" s="15">
        <v>1</v>
      </c>
      <c r="P259" s="19">
        <v>10</v>
      </c>
      <c r="Q259" s="19">
        <v>10</v>
      </c>
      <c r="R259" s="19">
        <v>0</v>
      </c>
      <c r="S259" s="15">
        <v>0</v>
      </c>
      <c r="T259" s="11">
        <v>4.67455174</v>
      </c>
      <c r="U259" s="11">
        <v>5.14056</v>
      </c>
      <c r="V259" s="15">
        <v>1</v>
      </c>
      <c r="W259" s="19">
        <v>10</v>
      </c>
      <c r="X259" s="19">
        <v>10</v>
      </c>
      <c r="Y259" s="19">
        <v>0</v>
      </c>
      <c r="Z259" s="15">
        <v>0</v>
      </c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</row>
  </sheetData>
  <autoFilter xmlns:etc="http://www.wps.cn/officeDocument/2017/etCustomData" ref="A1:AR259" etc:filterBottomFollowUsedRange="0">
    <sortState ref="A1:AR259">
      <sortCondition ref="I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9"/>
  <sheetViews>
    <sheetView workbookViewId="0">
      <selection activeCell="K15" sqref="K15"/>
    </sheetView>
  </sheetViews>
  <sheetFormatPr defaultColWidth="9" defaultRowHeight="14"/>
  <sheetData>
    <row r="1" ht="26" spans="1:1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9" t="s">
        <v>5</v>
      </c>
      <c r="G1" s="9" t="s">
        <v>6</v>
      </c>
      <c r="H1" s="9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26</v>
      </c>
      <c r="N1" s="35" t="s">
        <v>27</v>
      </c>
      <c r="O1" s="35" t="s">
        <v>28</v>
      </c>
      <c r="P1" s="35" t="s">
        <v>29</v>
      </c>
    </row>
    <row r="2" spans="1:16">
      <c r="A2" s="3" t="s">
        <v>44</v>
      </c>
      <c r="B2" s="3" t="s">
        <v>48</v>
      </c>
      <c r="C2" s="4" t="s">
        <v>46</v>
      </c>
      <c r="D2" s="5" t="s">
        <v>53</v>
      </c>
      <c r="E2" s="29">
        <v>3</v>
      </c>
      <c r="F2" s="10"/>
      <c r="G2" s="10">
        <v>0.226</v>
      </c>
      <c r="H2" s="10"/>
      <c r="I2" s="10">
        <v>-126.903225806452</v>
      </c>
      <c r="J2" s="10">
        <v>-10.4516129032258</v>
      </c>
      <c r="K2" s="14">
        <v>0</v>
      </c>
      <c r="L2" s="14">
        <v>0</v>
      </c>
      <c r="M2" s="3"/>
      <c r="N2" s="3"/>
      <c r="O2" s="3"/>
      <c r="P2" s="3"/>
    </row>
    <row r="3" spans="1:16">
      <c r="A3" s="3" t="s">
        <v>44</v>
      </c>
      <c r="B3" s="3" t="s">
        <v>48</v>
      </c>
      <c r="C3" s="4" t="s">
        <v>49</v>
      </c>
      <c r="D3" s="5" t="s">
        <v>50</v>
      </c>
      <c r="E3" s="29">
        <v>3</v>
      </c>
      <c r="F3" s="10">
        <v>5.919</v>
      </c>
      <c r="G3" s="10">
        <v>0.752</v>
      </c>
      <c r="H3" s="10">
        <v>7.87101063829787</v>
      </c>
      <c r="I3" s="10">
        <v>-122.896103896104</v>
      </c>
      <c r="J3" s="10">
        <v>-9.52064935064935</v>
      </c>
      <c r="K3" s="14">
        <v>0</v>
      </c>
      <c r="L3" s="14">
        <v>0</v>
      </c>
      <c r="M3" s="10">
        <v>-123.233652173913</v>
      </c>
      <c r="N3" s="10">
        <v>-10.3693913043478</v>
      </c>
      <c r="O3" s="14">
        <v>0</v>
      </c>
      <c r="P3" s="14">
        <v>0</v>
      </c>
    </row>
    <row r="4" spans="1:16">
      <c r="A4" s="3" t="s">
        <v>51</v>
      </c>
      <c r="B4" s="6" t="s">
        <v>52</v>
      </c>
      <c r="C4" s="6" t="s">
        <v>49</v>
      </c>
      <c r="D4" s="6" t="s">
        <v>61</v>
      </c>
      <c r="E4" s="30">
        <v>3</v>
      </c>
      <c r="F4" s="11">
        <v>2.12726338416338</v>
      </c>
      <c r="G4" s="11">
        <v>0.449866666666667</v>
      </c>
      <c r="H4" s="11">
        <v>4.72865304719186</v>
      </c>
      <c r="I4" s="11">
        <v>-119.371935390828</v>
      </c>
      <c r="J4" s="11">
        <v>-7.16232964378425</v>
      </c>
      <c r="K4" s="15">
        <v>0.0674935102394001</v>
      </c>
      <c r="L4" s="15">
        <v>0.0710989327949236</v>
      </c>
      <c r="M4" s="3"/>
      <c r="N4" s="3"/>
      <c r="O4" s="3"/>
      <c r="P4" s="3"/>
    </row>
    <row r="5" spans="1:16">
      <c r="A5" s="3" t="s">
        <v>51</v>
      </c>
      <c r="B5" s="4" t="s">
        <v>58</v>
      </c>
      <c r="C5" s="5" t="s">
        <v>46</v>
      </c>
      <c r="D5" s="6" t="s">
        <v>65</v>
      </c>
      <c r="E5" s="30">
        <v>3</v>
      </c>
      <c r="F5" s="11" t="s">
        <v>54</v>
      </c>
      <c r="G5" s="11">
        <v>0.393805555555556</v>
      </c>
      <c r="H5" s="11" t="s">
        <v>54</v>
      </c>
      <c r="I5" s="11">
        <v>-116.721484653819</v>
      </c>
      <c r="J5" s="11">
        <v>-3.53375936830835</v>
      </c>
      <c r="K5" s="15">
        <v>0.0806566738044254</v>
      </c>
      <c r="L5" s="15">
        <v>0.204282655246253</v>
      </c>
      <c r="M5" s="3"/>
      <c r="N5" s="3"/>
      <c r="O5" s="3"/>
      <c r="P5" s="3"/>
    </row>
    <row r="6" spans="1:16">
      <c r="A6" s="3" t="s">
        <v>44</v>
      </c>
      <c r="B6" s="3" t="s">
        <v>48</v>
      </c>
      <c r="C6" s="4" t="s">
        <v>49</v>
      </c>
      <c r="D6" s="5" t="s">
        <v>50</v>
      </c>
      <c r="E6" s="29">
        <v>3</v>
      </c>
      <c r="F6" s="10">
        <v>2.784</v>
      </c>
      <c r="G6" s="10">
        <v>0.674</v>
      </c>
      <c r="H6" s="10">
        <v>4.13056379821958</v>
      </c>
      <c r="I6" s="10">
        <v>-112.905769230769</v>
      </c>
      <c r="J6" s="10">
        <v>-6.24782692307692</v>
      </c>
      <c r="K6" s="14">
        <v>0.0596153846153846</v>
      </c>
      <c r="L6" s="14">
        <v>0.178846153846154</v>
      </c>
      <c r="M6" s="10">
        <v>-113.701629213483</v>
      </c>
      <c r="N6" s="10">
        <v>-7.24325842696629</v>
      </c>
      <c r="O6" s="14">
        <v>0.0224719101123596</v>
      </c>
      <c r="P6" s="14">
        <v>0.0898876404494382</v>
      </c>
    </row>
    <row r="7" spans="1:16">
      <c r="A7" s="3" t="s">
        <v>44</v>
      </c>
      <c r="B7" s="3" t="s">
        <v>48</v>
      </c>
      <c r="C7" s="4" t="s">
        <v>46</v>
      </c>
      <c r="D7" s="5" t="s">
        <v>53</v>
      </c>
      <c r="E7" s="29">
        <v>3</v>
      </c>
      <c r="F7" s="10"/>
      <c r="G7" s="10">
        <v>0.226</v>
      </c>
      <c r="H7" s="10"/>
      <c r="I7" s="10">
        <v>-110.677551020408</v>
      </c>
      <c r="J7" s="10">
        <v>-5.57068979591837</v>
      </c>
      <c r="K7" s="14">
        <v>0.106122448979592</v>
      </c>
      <c r="L7" s="14">
        <v>0.187755102040816</v>
      </c>
      <c r="M7" s="3"/>
      <c r="N7" s="3"/>
      <c r="O7" s="3"/>
      <c r="P7" s="3"/>
    </row>
    <row r="8" spans="1:16">
      <c r="A8" s="3" t="s">
        <v>51</v>
      </c>
      <c r="B8" s="4" t="s">
        <v>58</v>
      </c>
      <c r="C8" s="5" t="s">
        <v>46</v>
      </c>
      <c r="D8" s="6" t="s">
        <v>47</v>
      </c>
      <c r="E8" s="30">
        <v>3</v>
      </c>
      <c r="F8" s="11" t="s">
        <v>54</v>
      </c>
      <c r="G8" s="11">
        <v>0.397583333333333</v>
      </c>
      <c r="H8" s="11" t="s">
        <v>54</v>
      </c>
      <c r="I8" s="11">
        <v>-109.345174825175</v>
      </c>
      <c r="J8" s="11">
        <v>7.15406468531468</v>
      </c>
      <c r="K8" s="15">
        <v>0.0237762237762238</v>
      </c>
      <c r="L8" s="15">
        <v>0.748671328671329</v>
      </c>
      <c r="M8" s="3"/>
      <c r="N8" s="3"/>
      <c r="O8" s="3"/>
      <c r="P8" s="3"/>
    </row>
    <row r="9" spans="1:16">
      <c r="A9" s="3" t="s">
        <v>51</v>
      </c>
      <c r="B9" s="6" t="s">
        <v>52</v>
      </c>
      <c r="C9" s="6" t="s">
        <v>46</v>
      </c>
      <c r="D9" s="6" t="s">
        <v>53</v>
      </c>
      <c r="E9" s="30">
        <v>3</v>
      </c>
      <c r="F9" s="11" t="s">
        <v>54</v>
      </c>
      <c r="G9" s="11">
        <v>0.486161111111111</v>
      </c>
      <c r="H9" s="11" t="s">
        <v>54</v>
      </c>
      <c r="I9" s="11">
        <v>-108.192205826712</v>
      </c>
      <c r="J9" s="11">
        <v>-3.57079234455795</v>
      </c>
      <c r="K9" s="15">
        <v>0.0501954849287426</v>
      </c>
      <c r="L9" s="15">
        <v>0.33774750914365</v>
      </c>
      <c r="M9" s="3"/>
      <c r="N9" s="3"/>
      <c r="O9" s="3"/>
      <c r="P9" s="3"/>
    </row>
    <row r="10" spans="1:16">
      <c r="A10" s="3" t="s">
        <v>51</v>
      </c>
      <c r="B10" s="6" t="s">
        <v>52</v>
      </c>
      <c r="C10" s="6" t="s">
        <v>46</v>
      </c>
      <c r="D10" s="6" t="s">
        <v>57</v>
      </c>
      <c r="E10" s="30">
        <v>3</v>
      </c>
      <c r="F10" s="11" t="s">
        <v>54</v>
      </c>
      <c r="G10" s="11">
        <v>0.436</v>
      </c>
      <c r="H10" s="11" t="s">
        <v>54</v>
      </c>
      <c r="I10" s="11">
        <v>-107.664991835197</v>
      </c>
      <c r="J10" s="11">
        <v>1.42339412448185</v>
      </c>
      <c r="K10" s="15">
        <v>0.213164175354855</v>
      </c>
      <c r="L10" s="15">
        <v>0.708956161286271</v>
      </c>
      <c r="M10" s="3"/>
      <c r="N10" s="3"/>
      <c r="O10" s="3"/>
      <c r="P10" s="3"/>
    </row>
    <row r="11" spans="1:16">
      <c r="A11" s="3" t="s">
        <v>51</v>
      </c>
      <c r="B11" s="5" t="s">
        <v>63</v>
      </c>
      <c r="C11" s="5" t="s">
        <v>46</v>
      </c>
      <c r="D11" s="5" t="s">
        <v>53</v>
      </c>
      <c r="E11" s="31">
        <v>3</v>
      </c>
      <c r="F11" s="11" t="s">
        <v>54</v>
      </c>
      <c r="G11" s="11">
        <v>0.410975</v>
      </c>
      <c r="H11" s="11" t="s">
        <v>54</v>
      </c>
      <c r="I11" s="11">
        <v>-106.666711736074</v>
      </c>
      <c r="J11" s="11">
        <v>-3.16877366143862</v>
      </c>
      <c r="K11" s="15">
        <v>0.0896430502974581</v>
      </c>
      <c r="L11" s="15">
        <v>0.681990265008112</v>
      </c>
      <c r="M11" s="3"/>
      <c r="N11" s="3"/>
      <c r="O11" s="3"/>
      <c r="P11" s="3"/>
    </row>
    <row r="12" spans="1:16">
      <c r="A12" s="3" t="s">
        <v>51</v>
      </c>
      <c r="B12" s="4" t="s">
        <v>58</v>
      </c>
      <c r="C12" s="6" t="s">
        <v>49</v>
      </c>
      <c r="D12" s="6" t="s">
        <v>61</v>
      </c>
      <c r="E12" s="30">
        <v>3</v>
      </c>
      <c r="F12" s="11">
        <v>2.05306912571192</v>
      </c>
      <c r="G12" s="11">
        <v>0.317166666666667</v>
      </c>
      <c r="H12" s="11">
        <v>6.47315541475119</v>
      </c>
      <c r="I12" s="11">
        <v>-106.66592920354</v>
      </c>
      <c r="J12" s="11">
        <v>2.85644198859769</v>
      </c>
      <c r="K12" s="15">
        <v>0.271953710006807</v>
      </c>
      <c r="L12" s="15">
        <v>0.546630360789653</v>
      </c>
      <c r="M12" s="11">
        <v>-102.721482891855</v>
      </c>
      <c r="N12" s="11">
        <v>-0.416833754991095</v>
      </c>
      <c r="O12" s="15">
        <v>0.188235294117647</v>
      </c>
      <c r="P12" s="15">
        <v>0.341176470588235</v>
      </c>
    </row>
    <row r="13" spans="1:16">
      <c r="A13" s="3" t="s">
        <v>44</v>
      </c>
      <c r="B13" s="7" t="s">
        <v>60</v>
      </c>
      <c r="C13" s="4" t="s">
        <v>49</v>
      </c>
      <c r="D13" s="5" t="s">
        <v>50</v>
      </c>
      <c r="E13" s="29">
        <v>3</v>
      </c>
      <c r="F13" s="10">
        <v>2.504</v>
      </c>
      <c r="G13" s="10">
        <v>0.517</v>
      </c>
      <c r="H13" s="10">
        <v>4.84332688588008</v>
      </c>
      <c r="I13" s="10">
        <v>-105.673214285714</v>
      </c>
      <c r="J13" s="10">
        <v>-3.66366785714286</v>
      </c>
      <c r="K13" s="14">
        <v>0.355357142857143</v>
      </c>
      <c r="L13" s="14">
        <v>0.4625</v>
      </c>
      <c r="M13" s="10">
        <v>-106.500808080808</v>
      </c>
      <c r="N13" s="10">
        <v>-4.20768686868687</v>
      </c>
      <c r="O13" s="14">
        <v>0.272727272727273</v>
      </c>
      <c r="P13" s="14">
        <v>0.373737373737374</v>
      </c>
    </row>
    <row r="14" spans="1:16">
      <c r="A14" s="3" t="s">
        <v>44</v>
      </c>
      <c r="B14" s="3" t="s">
        <v>56</v>
      </c>
      <c r="C14" s="4" t="s">
        <v>46</v>
      </c>
      <c r="D14" s="5" t="s">
        <v>53</v>
      </c>
      <c r="E14" s="29">
        <v>2</v>
      </c>
      <c r="F14" s="10"/>
      <c r="G14" s="10">
        <v>0.226</v>
      </c>
      <c r="H14" s="10"/>
      <c r="I14" s="10">
        <v>-104.750798722045</v>
      </c>
      <c r="J14" s="10">
        <v>9.08355591054313</v>
      </c>
      <c r="K14" s="14">
        <v>0.677316293929712</v>
      </c>
      <c r="L14" s="14">
        <v>0.97444089456869</v>
      </c>
      <c r="M14" s="3"/>
      <c r="N14" s="3"/>
      <c r="O14" s="3"/>
      <c r="P14" s="3"/>
    </row>
    <row r="15" spans="1:16">
      <c r="A15" s="3" t="s">
        <v>44</v>
      </c>
      <c r="B15" s="7" t="s">
        <v>60</v>
      </c>
      <c r="C15" s="4" t="s">
        <v>49</v>
      </c>
      <c r="D15" s="5" t="s">
        <v>50</v>
      </c>
      <c r="E15" s="29">
        <v>3</v>
      </c>
      <c r="F15" s="10">
        <v>6.052</v>
      </c>
      <c r="G15" s="10">
        <v>0.637</v>
      </c>
      <c r="H15" s="10">
        <v>9.50078492935636</v>
      </c>
      <c r="I15" s="10">
        <v>-103.911688311688</v>
      </c>
      <c r="J15" s="10">
        <v>1.00311688311688</v>
      </c>
      <c r="K15" s="14">
        <v>0.54025974025974</v>
      </c>
      <c r="L15" s="14">
        <v>0.67012987012987</v>
      </c>
      <c r="M15" s="10">
        <v>-104.235420560748</v>
      </c>
      <c r="N15" s="10">
        <v>2.08718691588785</v>
      </c>
      <c r="O15" s="14">
        <v>0.570093457943925</v>
      </c>
      <c r="P15" s="14">
        <v>0.682242990654206</v>
      </c>
    </row>
    <row r="16" spans="1:16">
      <c r="A16" s="3" t="s">
        <v>44</v>
      </c>
      <c r="B16" s="3" t="s">
        <v>48</v>
      </c>
      <c r="C16" s="4" t="s">
        <v>49</v>
      </c>
      <c r="D16" s="5" t="s">
        <v>50</v>
      </c>
      <c r="E16" s="29">
        <v>3</v>
      </c>
      <c r="F16" s="10">
        <v>3.658</v>
      </c>
      <c r="G16" s="10">
        <v>1</v>
      </c>
      <c r="H16" s="10">
        <v>3.658</v>
      </c>
      <c r="I16" s="10">
        <v>-103.076830732293</v>
      </c>
      <c r="J16" s="10">
        <v>0.0587995198079232</v>
      </c>
      <c r="K16" s="14">
        <v>0.482593037214886</v>
      </c>
      <c r="L16" s="14">
        <v>0.590636254501801</v>
      </c>
      <c r="M16" s="10">
        <v>-106.022767676768</v>
      </c>
      <c r="N16" s="10">
        <v>-2.23948484848485</v>
      </c>
      <c r="O16" s="14">
        <v>0.353535353535354</v>
      </c>
      <c r="P16" s="14">
        <v>0.484848484848485</v>
      </c>
    </row>
    <row r="17" spans="1:16">
      <c r="A17" s="3" t="s">
        <v>44</v>
      </c>
      <c r="B17" s="7" t="s">
        <v>60</v>
      </c>
      <c r="C17" s="4" t="s">
        <v>46</v>
      </c>
      <c r="D17" s="5" t="s">
        <v>53</v>
      </c>
      <c r="E17" s="29">
        <v>3</v>
      </c>
      <c r="F17" s="10"/>
      <c r="G17" s="10">
        <v>0.226</v>
      </c>
      <c r="H17" s="10"/>
      <c r="I17" s="10">
        <v>-102.294326241135</v>
      </c>
      <c r="J17" s="10">
        <v>-3.46358156028369</v>
      </c>
      <c r="K17" s="14">
        <v>0.539007092198582</v>
      </c>
      <c r="L17" s="14">
        <v>0.570921985815603</v>
      </c>
      <c r="M17" s="10"/>
      <c r="N17" s="10"/>
      <c r="O17" s="14"/>
      <c r="P17" s="14"/>
    </row>
    <row r="18" spans="1:16">
      <c r="A18" s="3" t="s">
        <v>44</v>
      </c>
      <c r="B18" s="3" t="s">
        <v>56</v>
      </c>
      <c r="C18" s="4" t="s">
        <v>46</v>
      </c>
      <c r="D18" s="5" t="s">
        <v>53</v>
      </c>
      <c r="E18" s="29">
        <v>3</v>
      </c>
      <c r="F18" s="10"/>
      <c r="G18" s="10">
        <v>0.226</v>
      </c>
      <c r="H18" s="10"/>
      <c r="I18" s="10">
        <v>-102.200657894737</v>
      </c>
      <c r="J18" s="10">
        <v>-3.74907236842105</v>
      </c>
      <c r="K18" s="14">
        <v>0.539473684210526</v>
      </c>
      <c r="L18" s="14">
        <v>0.5625</v>
      </c>
      <c r="M18" s="3"/>
      <c r="N18" s="3"/>
      <c r="O18" s="3"/>
      <c r="P18" s="3"/>
    </row>
    <row r="19" spans="1:16">
      <c r="A19" s="3" t="s">
        <v>51</v>
      </c>
      <c r="B19" s="6" t="s">
        <v>52</v>
      </c>
      <c r="C19" s="6" t="s">
        <v>49</v>
      </c>
      <c r="D19" s="5" t="s">
        <v>50</v>
      </c>
      <c r="E19" s="30">
        <v>3</v>
      </c>
      <c r="F19" s="11">
        <v>5.61482901751995</v>
      </c>
      <c r="G19" s="11">
        <v>0.418938888888889</v>
      </c>
      <c r="H19" s="11">
        <v>13.4025013347689</v>
      </c>
      <c r="I19" s="11">
        <v>-101.578139596957</v>
      </c>
      <c r="J19" s="11">
        <v>2.8419962798612</v>
      </c>
      <c r="K19" s="15">
        <v>0.499799813158948</v>
      </c>
      <c r="L19" s="15">
        <v>0.501401307887362</v>
      </c>
      <c r="M19" s="3"/>
      <c r="N19" s="3"/>
      <c r="O19" s="3"/>
      <c r="P19" s="3"/>
    </row>
    <row r="20" spans="1:16">
      <c r="A20" s="3" t="s">
        <v>51</v>
      </c>
      <c r="B20" s="6" t="s">
        <v>55</v>
      </c>
      <c r="C20" s="6" t="s">
        <v>49</v>
      </c>
      <c r="D20" s="6" t="s">
        <v>50</v>
      </c>
      <c r="E20" s="32">
        <v>3</v>
      </c>
      <c r="F20" s="12">
        <v>2.08666555297375</v>
      </c>
      <c r="G20" s="12">
        <v>0.564444444444444</v>
      </c>
      <c r="H20" s="12">
        <v>3.69684842062278</v>
      </c>
      <c r="I20" s="12">
        <v>-101.470524233432</v>
      </c>
      <c r="J20" s="12">
        <v>1.49376390949555</v>
      </c>
      <c r="K20" s="16">
        <v>0.639564787339268</v>
      </c>
      <c r="L20" s="16">
        <v>0.717012858555885</v>
      </c>
      <c r="M20" s="12">
        <v>-102.251393275003</v>
      </c>
      <c r="N20" s="12">
        <v>0.304905816721918</v>
      </c>
      <c r="O20" s="16">
        <v>0.597560975609756</v>
      </c>
      <c r="P20" s="16">
        <v>0.719512195121951</v>
      </c>
    </row>
    <row r="21" spans="1:16">
      <c r="A21" s="3" t="s">
        <v>51</v>
      </c>
      <c r="B21" s="4" t="s">
        <v>62</v>
      </c>
      <c r="C21" s="4" t="s">
        <v>46</v>
      </c>
      <c r="D21" s="4" t="s">
        <v>47</v>
      </c>
      <c r="E21" s="31">
        <v>3</v>
      </c>
      <c r="F21" s="11"/>
      <c r="G21" s="11">
        <v>0.378552777777778</v>
      </c>
      <c r="H21" s="11"/>
      <c r="I21" s="11">
        <v>-101.216438759006</v>
      </c>
      <c r="J21" s="11">
        <v>-1.65790187104838</v>
      </c>
      <c r="K21" s="15">
        <v>0.710777826790178</v>
      </c>
      <c r="L21" s="15">
        <v>0.718423761211587</v>
      </c>
      <c r="M21" s="11"/>
      <c r="N21" s="11"/>
      <c r="O21" s="15"/>
      <c r="P21" s="15"/>
    </row>
    <row r="22" spans="1:16">
      <c r="A22" s="3" t="s">
        <v>51</v>
      </c>
      <c r="B22" s="5" t="s">
        <v>63</v>
      </c>
      <c r="C22" s="5" t="s">
        <v>46</v>
      </c>
      <c r="D22" s="5" t="s">
        <v>47</v>
      </c>
      <c r="E22" s="31">
        <v>3</v>
      </c>
      <c r="F22" s="11" t="s">
        <v>54</v>
      </c>
      <c r="G22" s="11">
        <v>0.383913888888889</v>
      </c>
      <c r="H22" s="11" t="s">
        <v>54</v>
      </c>
      <c r="I22" s="11">
        <v>-101.184397163121</v>
      </c>
      <c r="J22" s="11">
        <v>5.39302600472813</v>
      </c>
      <c r="K22" s="15">
        <v>0.862588652482269</v>
      </c>
      <c r="L22" s="15">
        <v>0.883274231678487</v>
      </c>
      <c r="M22" s="3"/>
      <c r="N22" s="3"/>
      <c r="O22" s="3"/>
      <c r="P22" s="3"/>
    </row>
    <row r="23" spans="1:16">
      <c r="A23" s="3" t="s">
        <v>51</v>
      </c>
      <c r="B23" s="5" t="s">
        <v>63</v>
      </c>
      <c r="C23" s="5" t="s">
        <v>46</v>
      </c>
      <c r="D23" s="5" t="s">
        <v>57</v>
      </c>
      <c r="E23" s="31">
        <v>3</v>
      </c>
      <c r="F23" s="11" t="s">
        <v>54</v>
      </c>
      <c r="G23" s="11">
        <v>0.372086111111111</v>
      </c>
      <c r="H23" s="11" t="s">
        <v>54</v>
      </c>
      <c r="I23" s="11">
        <v>-100.128370098039</v>
      </c>
      <c r="J23" s="11">
        <v>0.0764375574448529</v>
      </c>
      <c r="K23" s="15">
        <v>0.853094362745098</v>
      </c>
      <c r="L23" s="15">
        <v>0.865042892156863</v>
      </c>
      <c r="M23" s="3"/>
      <c r="N23" s="3"/>
      <c r="O23" s="3"/>
      <c r="P23" s="3"/>
    </row>
    <row r="24" spans="1:16">
      <c r="A24" s="3" t="s">
        <v>51</v>
      </c>
      <c r="B24" s="4" t="s">
        <v>58</v>
      </c>
      <c r="C24" s="5" t="s">
        <v>46</v>
      </c>
      <c r="D24" s="6" t="s">
        <v>53</v>
      </c>
      <c r="E24" s="30">
        <v>2</v>
      </c>
      <c r="F24" s="11" t="s">
        <v>54</v>
      </c>
      <c r="G24" s="11">
        <v>0.401944444444444</v>
      </c>
      <c r="H24" s="11" t="s">
        <v>54</v>
      </c>
      <c r="I24" s="11">
        <v>-99.5922125386562</v>
      </c>
      <c r="J24" s="11">
        <v>11.3711519538937</v>
      </c>
      <c r="K24" s="15">
        <v>0.753725049198763</v>
      </c>
      <c r="L24" s="15">
        <v>0.753725049198763</v>
      </c>
      <c r="M24" s="3"/>
      <c r="N24" s="3"/>
      <c r="O24" s="3"/>
      <c r="P24" s="3"/>
    </row>
    <row r="25" spans="1:16">
      <c r="A25" s="3" t="s">
        <v>51</v>
      </c>
      <c r="B25" s="5" t="s">
        <v>63</v>
      </c>
      <c r="C25" s="6" t="s">
        <v>49</v>
      </c>
      <c r="D25" s="6" t="s">
        <v>61</v>
      </c>
      <c r="E25" s="31">
        <v>3</v>
      </c>
      <c r="F25" s="11">
        <v>2.23328234964609</v>
      </c>
      <c r="G25" s="11">
        <v>0.601330555555556</v>
      </c>
      <c r="H25" s="11">
        <v>3.7139013293326</v>
      </c>
      <c r="I25" s="11">
        <v>-99.2688922284242</v>
      </c>
      <c r="J25" s="11">
        <v>0.799816847359382</v>
      </c>
      <c r="K25" s="15">
        <v>0.662838127951911</v>
      </c>
      <c r="L25" s="15">
        <v>0.6849506225848</v>
      </c>
      <c r="M25" s="11">
        <v>-101.536189408695</v>
      </c>
      <c r="N25" s="11">
        <v>0.267480642722111</v>
      </c>
      <c r="O25" s="15">
        <v>0.588235294117647</v>
      </c>
      <c r="P25" s="15">
        <v>0.637254901960784</v>
      </c>
    </row>
    <row r="26" spans="1:16">
      <c r="A26" s="3" t="s">
        <v>44</v>
      </c>
      <c r="B26" s="3" t="s">
        <v>45</v>
      </c>
      <c r="C26" s="4" t="s">
        <v>46</v>
      </c>
      <c r="D26" s="5" t="s">
        <v>47</v>
      </c>
      <c r="E26" s="29">
        <v>2</v>
      </c>
      <c r="F26" s="10"/>
      <c r="G26" s="10">
        <v>0.226</v>
      </c>
      <c r="H26" s="10"/>
      <c r="I26" s="10">
        <v>-99.0660066006601</v>
      </c>
      <c r="J26" s="10">
        <v>3.30884158415842</v>
      </c>
      <c r="K26" s="14">
        <v>0.94059405940594</v>
      </c>
      <c r="L26" s="14">
        <v>0.966996699669967</v>
      </c>
      <c r="M26" s="3"/>
      <c r="N26" s="3"/>
      <c r="O26" s="3"/>
      <c r="P26" s="3"/>
    </row>
    <row r="27" spans="1:16">
      <c r="A27" s="3" t="s">
        <v>51</v>
      </c>
      <c r="B27" s="5" t="s">
        <v>63</v>
      </c>
      <c r="C27" s="6" t="s">
        <v>49</v>
      </c>
      <c r="D27" s="6" t="s">
        <v>50</v>
      </c>
      <c r="E27" s="31">
        <v>3</v>
      </c>
      <c r="F27" s="11">
        <v>2.02233774805069</v>
      </c>
      <c r="G27" s="11">
        <v>0.476861111111111</v>
      </c>
      <c r="H27" s="11">
        <v>4.24093661850206</v>
      </c>
      <c r="I27" s="11">
        <v>-98.0588848962559</v>
      </c>
      <c r="J27" s="11">
        <v>1.74481279703257</v>
      </c>
      <c r="K27" s="15">
        <v>0.499826127274835</v>
      </c>
      <c r="L27" s="15">
        <v>0.771763069433175</v>
      </c>
      <c r="M27" s="11">
        <v>-100.855509985645</v>
      </c>
      <c r="N27" s="11">
        <v>0.680102209896355</v>
      </c>
      <c r="O27" s="15">
        <v>0.468085106382979</v>
      </c>
      <c r="P27" s="15">
        <v>0.712765957446808</v>
      </c>
    </row>
    <row r="28" spans="1:16">
      <c r="A28" s="3" t="s">
        <v>44</v>
      </c>
      <c r="B28" s="3" t="s">
        <v>56</v>
      </c>
      <c r="C28" s="4" t="s">
        <v>46</v>
      </c>
      <c r="D28" s="5" t="s">
        <v>57</v>
      </c>
      <c r="E28" s="29">
        <v>2</v>
      </c>
      <c r="F28" s="10"/>
      <c r="G28" s="10">
        <v>0.226</v>
      </c>
      <c r="H28" s="10"/>
      <c r="I28" s="10">
        <v>-98.0379746835443</v>
      </c>
      <c r="J28" s="10">
        <v>11.3013607594937</v>
      </c>
      <c r="K28" s="14">
        <v>1</v>
      </c>
      <c r="L28" s="14">
        <v>1</v>
      </c>
      <c r="M28" s="3"/>
      <c r="N28" s="3"/>
      <c r="O28" s="3"/>
      <c r="P28" s="3"/>
    </row>
    <row r="29" spans="1:16">
      <c r="A29" s="3" t="s">
        <v>51</v>
      </c>
      <c r="B29" s="5" t="s">
        <v>63</v>
      </c>
      <c r="C29" s="6" t="s">
        <v>49</v>
      </c>
      <c r="D29" s="6" t="s">
        <v>61</v>
      </c>
      <c r="E29" s="31">
        <v>3</v>
      </c>
      <c r="F29" s="11">
        <v>2.03014532768726</v>
      </c>
      <c r="G29" s="11">
        <v>0.497777777777778</v>
      </c>
      <c r="H29" s="11">
        <v>4.07841695294316</v>
      </c>
      <c r="I29" s="11">
        <v>-96.5848129536572</v>
      </c>
      <c r="J29" s="11">
        <v>5.52639935790061</v>
      </c>
      <c r="K29" s="15">
        <v>0.937800111669458</v>
      </c>
      <c r="L29" s="15">
        <v>0.956448911222781</v>
      </c>
      <c r="M29" s="11">
        <v>-96.9531298857903</v>
      </c>
      <c r="N29" s="11">
        <v>5.46597572124014</v>
      </c>
      <c r="O29" s="15">
        <v>0.942528735632184</v>
      </c>
      <c r="P29" s="15">
        <v>0.954022988505747</v>
      </c>
    </row>
    <row r="30" spans="1:16">
      <c r="A30" s="3" t="s">
        <v>51</v>
      </c>
      <c r="B30" s="6" t="s">
        <v>52</v>
      </c>
      <c r="C30" s="6" t="s">
        <v>46</v>
      </c>
      <c r="D30" s="6" t="s">
        <v>53</v>
      </c>
      <c r="E30" s="30">
        <v>1</v>
      </c>
      <c r="F30" s="11" t="s">
        <v>54</v>
      </c>
      <c r="G30" s="11">
        <v>0.441755555555556</v>
      </c>
      <c r="H30" s="11" t="s">
        <v>54</v>
      </c>
      <c r="I30" s="11">
        <v>-96.1542056074766</v>
      </c>
      <c r="J30" s="11">
        <v>-2.39099007009346</v>
      </c>
      <c r="K30" s="15">
        <v>0.446105919003115</v>
      </c>
      <c r="L30" s="15">
        <v>0.446105919003115</v>
      </c>
      <c r="M30" s="3"/>
      <c r="N30" s="3"/>
      <c r="O30" s="3"/>
      <c r="P30" s="3"/>
    </row>
    <row r="31" spans="1:16">
      <c r="A31" s="3" t="s">
        <v>44</v>
      </c>
      <c r="B31" s="7" t="s">
        <v>60</v>
      </c>
      <c r="C31" s="4" t="s">
        <v>46</v>
      </c>
      <c r="D31" s="5" t="s">
        <v>47</v>
      </c>
      <c r="E31" s="29">
        <v>3</v>
      </c>
      <c r="F31" s="10"/>
      <c r="G31" s="10">
        <v>0.226</v>
      </c>
      <c r="H31" s="10"/>
      <c r="I31" s="10">
        <v>-95.612676056338</v>
      </c>
      <c r="J31" s="10">
        <v>0.153556338028169</v>
      </c>
      <c r="K31" s="14">
        <v>0.940140845070423</v>
      </c>
      <c r="L31" s="14">
        <v>0.940140845070423</v>
      </c>
      <c r="M31" s="3"/>
      <c r="N31" s="3"/>
      <c r="O31" s="3"/>
      <c r="P31" s="3"/>
    </row>
    <row r="32" spans="1:16">
      <c r="A32" s="3" t="s">
        <v>51</v>
      </c>
      <c r="B32" s="5" t="s">
        <v>55</v>
      </c>
      <c r="C32" s="5" t="s">
        <v>46</v>
      </c>
      <c r="D32" s="5" t="s">
        <v>53</v>
      </c>
      <c r="E32" s="33">
        <v>3</v>
      </c>
      <c r="F32" s="11" t="s">
        <v>54</v>
      </c>
      <c r="G32" s="11">
        <v>0.377697222222222</v>
      </c>
      <c r="H32" s="11" t="s">
        <v>54</v>
      </c>
      <c r="I32" s="11">
        <v>-95.1842958161461</v>
      </c>
      <c r="J32" s="11">
        <v>0.718881205804361</v>
      </c>
      <c r="K32" s="15">
        <v>0.961991750147319</v>
      </c>
      <c r="L32" s="15">
        <v>0.961991750147319</v>
      </c>
      <c r="M32" s="11" t="s">
        <v>54</v>
      </c>
      <c r="N32" s="11" t="s">
        <v>54</v>
      </c>
      <c r="O32" s="15" t="s">
        <v>54</v>
      </c>
      <c r="P32" s="15" t="s">
        <v>54</v>
      </c>
    </row>
    <row r="33" spans="1:16">
      <c r="A33" s="3" t="s">
        <v>44</v>
      </c>
      <c r="B33" s="3" t="s">
        <v>56</v>
      </c>
      <c r="C33" s="4" t="s">
        <v>49</v>
      </c>
      <c r="D33" s="5" t="s">
        <v>61</v>
      </c>
      <c r="E33" s="29">
        <v>2</v>
      </c>
      <c r="F33" s="10">
        <v>6.099</v>
      </c>
      <c r="G33" s="10">
        <v>0.567</v>
      </c>
      <c r="H33" s="10">
        <v>10.7566137566138</v>
      </c>
      <c r="I33" s="10">
        <v>-95.1255742725881</v>
      </c>
      <c r="J33" s="10">
        <v>7.56974578866769</v>
      </c>
      <c r="K33" s="14">
        <v>0.891271056661562</v>
      </c>
      <c r="L33" s="14">
        <v>0.934150076569678</v>
      </c>
      <c r="M33" s="10">
        <v>-95.8932490118577</v>
      </c>
      <c r="N33" s="10">
        <v>6.4250790513834</v>
      </c>
      <c r="O33" s="14">
        <v>0.853754940711462</v>
      </c>
      <c r="P33" s="14">
        <v>0.909090909090909</v>
      </c>
    </row>
    <row r="34" spans="1:16">
      <c r="A34" s="3" t="s">
        <v>51</v>
      </c>
      <c r="B34" s="6" t="s">
        <v>55</v>
      </c>
      <c r="C34" s="6" t="s">
        <v>49</v>
      </c>
      <c r="D34" s="6" t="s">
        <v>50</v>
      </c>
      <c r="E34" s="34">
        <v>1</v>
      </c>
      <c r="F34" s="12">
        <v>2.08666555297375</v>
      </c>
      <c r="G34" s="12">
        <v>0.564608333333333</v>
      </c>
      <c r="H34" s="12">
        <v>3.69577533624857</v>
      </c>
      <c r="I34" s="12">
        <v>-95.0221650504651</v>
      </c>
      <c r="J34" s="12">
        <v>1.0526389026321</v>
      </c>
      <c r="K34" s="16">
        <v>0.689293489016426</v>
      </c>
      <c r="L34" s="16">
        <v>0.693053631506036</v>
      </c>
      <c r="M34" s="12">
        <v>-93.0407702827897</v>
      </c>
      <c r="N34" s="12">
        <v>2.11922885981095</v>
      </c>
      <c r="O34" s="16">
        <v>0.719512195121951</v>
      </c>
      <c r="P34" s="16">
        <v>0.731707317073171</v>
      </c>
    </row>
    <row r="35" spans="1:16">
      <c r="A35" s="3" t="s">
        <v>51</v>
      </c>
      <c r="B35" s="6" t="s">
        <v>55</v>
      </c>
      <c r="C35" s="6" t="s">
        <v>49</v>
      </c>
      <c r="D35" s="6" t="s">
        <v>61</v>
      </c>
      <c r="E35" s="31">
        <v>3</v>
      </c>
      <c r="F35" s="11">
        <v>1.66221134400368</v>
      </c>
      <c r="G35" s="11">
        <v>0.349083333333333</v>
      </c>
      <c r="H35" s="11">
        <v>4.76164624684749</v>
      </c>
      <c r="I35" s="11">
        <v>-94.9139698814483</v>
      </c>
      <c r="J35" s="11">
        <v>3.18579031159885</v>
      </c>
      <c r="K35" s="15">
        <v>0.848446010893944</v>
      </c>
      <c r="L35" s="15">
        <v>0.887696251201538</v>
      </c>
      <c r="M35" s="11">
        <v>-94.3004349142781</v>
      </c>
      <c r="N35" s="11">
        <v>3.18324249037571</v>
      </c>
      <c r="O35" s="15">
        <v>0.846153846153846</v>
      </c>
      <c r="P35" s="15">
        <v>0.897435897435897</v>
      </c>
    </row>
    <row r="36" spans="1:16">
      <c r="A36" s="3" t="s">
        <v>51</v>
      </c>
      <c r="B36" s="6" t="s">
        <v>55</v>
      </c>
      <c r="C36" s="6" t="s">
        <v>49</v>
      </c>
      <c r="D36" s="6" t="s">
        <v>50</v>
      </c>
      <c r="E36" s="32">
        <v>2</v>
      </c>
      <c r="F36" s="12">
        <v>2.08588175290823</v>
      </c>
      <c r="G36" s="12">
        <v>0.564252777777778</v>
      </c>
      <c r="H36" s="12">
        <v>3.69671508064728</v>
      </c>
      <c r="I36" s="12">
        <v>-94.5430091029968</v>
      </c>
      <c r="J36" s="12">
        <v>0.322360514472742</v>
      </c>
      <c r="K36" s="16">
        <v>0.706556203334356</v>
      </c>
      <c r="L36" s="16">
        <v>0.70952234836862</v>
      </c>
      <c r="M36" s="12">
        <v>-96.6109961697495</v>
      </c>
      <c r="N36" s="12">
        <v>-0.210586543286658</v>
      </c>
      <c r="O36" s="16">
        <v>0.634146341463415</v>
      </c>
      <c r="P36" s="16">
        <v>0.658536585365854</v>
      </c>
    </row>
    <row r="37" spans="1:16">
      <c r="A37" s="3" t="s">
        <v>44</v>
      </c>
      <c r="B37" s="7" t="s">
        <v>60</v>
      </c>
      <c r="C37" s="4" t="s">
        <v>49</v>
      </c>
      <c r="D37" s="5" t="s">
        <v>50</v>
      </c>
      <c r="E37" s="29">
        <v>3</v>
      </c>
      <c r="F37" s="10">
        <v>3.814</v>
      </c>
      <c r="G37" s="10">
        <v>0.402</v>
      </c>
      <c r="H37" s="10">
        <v>9.48756218905473</v>
      </c>
      <c r="I37" s="10">
        <v>-94.4569288389513</v>
      </c>
      <c r="J37" s="10">
        <v>5.50112921348315</v>
      </c>
      <c r="K37" s="14">
        <v>0.852059925093633</v>
      </c>
      <c r="L37" s="14">
        <v>0.861423220973783</v>
      </c>
      <c r="M37" s="10">
        <v>-93.4883684210526</v>
      </c>
      <c r="N37" s="10">
        <v>4.40123026315789</v>
      </c>
      <c r="O37" s="14">
        <v>0.855263157894737</v>
      </c>
      <c r="P37" s="14">
        <v>0.855263157894737</v>
      </c>
    </row>
    <row r="38" spans="1:16">
      <c r="A38" s="3" t="s">
        <v>44</v>
      </c>
      <c r="B38" s="3" t="s">
        <v>59</v>
      </c>
      <c r="C38" s="4" t="s">
        <v>46</v>
      </c>
      <c r="D38" s="5" t="s">
        <v>53</v>
      </c>
      <c r="E38" s="29">
        <v>1</v>
      </c>
      <c r="F38" s="10"/>
      <c r="G38" s="10">
        <v>0.226</v>
      </c>
      <c r="H38" s="10"/>
      <c r="I38" s="10">
        <v>-94.1823899371069</v>
      </c>
      <c r="J38" s="10">
        <v>12.4551949685535</v>
      </c>
      <c r="K38" s="14">
        <v>1</v>
      </c>
      <c r="L38" s="14">
        <v>1</v>
      </c>
      <c r="M38" s="10"/>
      <c r="N38" s="10"/>
      <c r="O38" s="14"/>
      <c r="P38" s="14"/>
    </row>
    <row r="39" spans="1:16">
      <c r="A39" s="3" t="s">
        <v>51</v>
      </c>
      <c r="B39" s="4" t="s">
        <v>58</v>
      </c>
      <c r="C39" s="6" t="s">
        <v>49</v>
      </c>
      <c r="D39" s="6" t="s">
        <v>50</v>
      </c>
      <c r="E39" s="30">
        <v>3</v>
      </c>
      <c r="F39" s="11">
        <v>5.39874204570055</v>
      </c>
      <c r="G39" s="11">
        <v>0.643863888888889</v>
      </c>
      <c r="H39" s="11">
        <v>8.38491199594548</v>
      </c>
      <c r="I39" s="11">
        <v>-93.6440036900369</v>
      </c>
      <c r="J39" s="11">
        <v>-3.33892124077491</v>
      </c>
      <c r="K39" s="15">
        <v>0.151937269372694</v>
      </c>
      <c r="L39" s="15">
        <v>0.197970479704797</v>
      </c>
      <c r="M39" s="11">
        <v>-99.6416019297853</v>
      </c>
      <c r="N39" s="11">
        <v>-3.29510572558529</v>
      </c>
      <c r="O39" s="15">
        <v>0.0652173913043478</v>
      </c>
      <c r="P39" s="15">
        <v>0.119565217391304</v>
      </c>
    </row>
    <row r="40" spans="1:16">
      <c r="A40" s="3" t="s">
        <v>51</v>
      </c>
      <c r="B40" s="4" t="s">
        <v>58</v>
      </c>
      <c r="C40" s="5" t="s">
        <v>46</v>
      </c>
      <c r="D40" s="6" t="s">
        <v>53</v>
      </c>
      <c r="E40" s="30">
        <v>3</v>
      </c>
      <c r="F40" s="11" t="s">
        <v>54</v>
      </c>
      <c r="G40" s="11">
        <v>0.402111111111111</v>
      </c>
      <c r="H40" s="11" t="s">
        <v>54</v>
      </c>
      <c r="I40" s="11">
        <v>-93.3619640387275</v>
      </c>
      <c r="J40" s="11">
        <v>7.94922415283541</v>
      </c>
      <c r="K40" s="15">
        <v>0.944674965421853</v>
      </c>
      <c r="L40" s="15">
        <v>0.944674965421853</v>
      </c>
      <c r="M40" s="3"/>
      <c r="N40" s="3"/>
      <c r="O40" s="3"/>
      <c r="P40" s="3"/>
    </row>
    <row r="41" spans="1:16">
      <c r="A41" s="3" t="s">
        <v>51</v>
      </c>
      <c r="B41" s="4" t="s">
        <v>62</v>
      </c>
      <c r="C41" s="4" t="s">
        <v>49</v>
      </c>
      <c r="D41" s="4" t="s">
        <v>50</v>
      </c>
      <c r="E41" s="31">
        <v>3</v>
      </c>
      <c r="F41" s="11">
        <v>2.17412685996294</v>
      </c>
      <c r="G41" s="11">
        <v>0.504916666666667</v>
      </c>
      <c r="H41" s="11">
        <f>IFERROR(F41/G41,"")</f>
        <v>4.30591224947273</v>
      </c>
      <c r="I41" s="11">
        <v>-92.00021602938</v>
      </c>
      <c r="J41" s="11">
        <v>3.08208103802117</v>
      </c>
      <c r="K41" s="15">
        <v>0.831065024843379</v>
      </c>
      <c r="L41" s="15">
        <v>0.832253186433355</v>
      </c>
      <c r="M41" s="11">
        <v>-92.9659077535063</v>
      </c>
      <c r="N41" s="11">
        <v>2.29446910389653</v>
      </c>
      <c r="O41" s="15">
        <v>0.776595744680851</v>
      </c>
      <c r="P41" s="15">
        <v>0.776595744680851</v>
      </c>
    </row>
    <row r="42" spans="1:16">
      <c r="A42" s="3" t="s">
        <v>51</v>
      </c>
      <c r="B42" s="6" t="s">
        <v>55</v>
      </c>
      <c r="C42" s="6" t="s">
        <v>49</v>
      </c>
      <c r="D42" s="6" t="s">
        <v>61</v>
      </c>
      <c r="E42" s="31">
        <v>1</v>
      </c>
      <c r="F42" s="11">
        <v>1.66221134400368</v>
      </c>
      <c r="G42" s="11">
        <v>0.349247222222222</v>
      </c>
      <c r="H42" s="11">
        <v>4.7594117812225</v>
      </c>
      <c r="I42" s="11">
        <v>-91.8773976982097</v>
      </c>
      <c r="J42" s="11">
        <v>2.28335797634271</v>
      </c>
      <c r="K42" s="15">
        <v>0.816975703324808</v>
      </c>
      <c r="L42" s="15">
        <v>0.816975703324808</v>
      </c>
      <c r="M42" s="11">
        <v>-92.9119763864705</v>
      </c>
      <c r="N42" s="11">
        <v>1.96230859773381</v>
      </c>
      <c r="O42" s="15">
        <v>0.807692307692308</v>
      </c>
      <c r="P42" s="15">
        <v>0.807692307692308</v>
      </c>
    </row>
    <row r="43" spans="1:16">
      <c r="A43" s="3" t="s">
        <v>51</v>
      </c>
      <c r="B43" s="6" t="s">
        <v>52</v>
      </c>
      <c r="C43" s="6" t="s">
        <v>46</v>
      </c>
      <c r="D43" s="6" t="s">
        <v>53</v>
      </c>
      <c r="E43" s="30">
        <v>1</v>
      </c>
      <c r="F43" s="11" t="s">
        <v>54</v>
      </c>
      <c r="G43" s="11">
        <v>0.486330555555556</v>
      </c>
      <c r="H43" s="11" t="s">
        <v>54</v>
      </c>
      <c r="I43" s="11">
        <v>-91.7990543735225</v>
      </c>
      <c r="J43" s="11">
        <v>-6.08035978132388</v>
      </c>
      <c r="K43" s="15">
        <v>0.256501182033097</v>
      </c>
      <c r="L43" s="15">
        <v>0.256501182033097</v>
      </c>
      <c r="M43" s="3"/>
      <c r="N43" s="3"/>
      <c r="O43" s="3"/>
      <c r="P43" s="3"/>
    </row>
    <row r="44" spans="1:16">
      <c r="A44" s="3" t="s">
        <v>51</v>
      </c>
      <c r="B44" s="6" t="s">
        <v>52</v>
      </c>
      <c r="C44" s="6" t="s">
        <v>46</v>
      </c>
      <c r="D44" s="6" t="s">
        <v>53</v>
      </c>
      <c r="E44" s="30">
        <v>3</v>
      </c>
      <c r="F44" s="11" t="s">
        <v>54</v>
      </c>
      <c r="G44" s="11">
        <v>0.441583333333333</v>
      </c>
      <c r="H44" s="11" t="s">
        <v>54</v>
      </c>
      <c r="I44" s="11">
        <v>-91.6197431377487</v>
      </c>
      <c r="J44" s="11">
        <v>7.35490509317552</v>
      </c>
      <c r="K44" s="15">
        <v>0.983001762780156</v>
      </c>
      <c r="L44" s="15">
        <v>0.983001762780156</v>
      </c>
      <c r="M44" s="3"/>
      <c r="N44" s="3"/>
      <c r="O44" s="3"/>
      <c r="P44" s="3"/>
    </row>
    <row r="45" spans="1:16">
      <c r="A45" s="3" t="s">
        <v>51</v>
      </c>
      <c r="B45" s="6" t="s">
        <v>55</v>
      </c>
      <c r="C45" s="6" t="s">
        <v>49</v>
      </c>
      <c r="D45" s="6" t="s">
        <v>61</v>
      </c>
      <c r="E45" s="31">
        <v>2</v>
      </c>
      <c r="F45" s="11">
        <v>1.66221134400368</v>
      </c>
      <c r="G45" s="11">
        <v>0.348913888888889</v>
      </c>
      <c r="H45" s="11">
        <v>4.763958664119</v>
      </c>
      <c r="I45" s="11">
        <v>-90.9119196575568</v>
      </c>
      <c r="J45" s="11">
        <v>3.6986412372407</v>
      </c>
      <c r="K45" s="15">
        <v>0.866315442871255</v>
      </c>
      <c r="L45" s="15">
        <v>0.883931511359895</v>
      </c>
      <c r="M45" s="11">
        <v>-91.5505976218467</v>
      </c>
      <c r="N45" s="11">
        <v>3.53464402672159</v>
      </c>
      <c r="O45" s="15">
        <v>0.833333333333333</v>
      </c>
      <c r="P45" s="15">
        <v>0.858974358974359</v>
      </c>
    </row>
    <row r="46" spans="1:16">
      <c r="A46" s="3" t="s">
        <v>44</v>
      </c>
      <c r="B46" s="3" t="s">
        <v>56</v>
      </c>
      <c r="C46" s="4" t="s">
        <v>46</v>
      </c>
      <c r="D46" s="5" t="s">
        <v>53</v>
      </c>
      <c r="E46" s="29">
        <v>1</v>
      </c>
      <c r="F46" s="10"/>
      <c r="G46" s="10">
        <v>0.226</v>
      </c>
      <c r="H46" s="10"/>
      <c r="I46" s="10">
        <v>-90.8584905660377</v>
      </c>
      <c r="J46" s="10">
        <v>0.935786163522012</v>
      </c>
      <c r="K46" s="14">
        <v>1</v>
      </c>
      <c r="L46" s="14">
        <v>1</v>
      </c>
      <c r="M46" s="3"/>
      <c r="N46" s="3"/>
      <c r="O46" s="3"/>
      <c r="P46" s="3"/>
    </row>
    <row r="47" spans="1:16">
      <c r="A47" s="3" t="s">
        <v>51</v>
      </c>
      <c r="B47" s="4" t="s">
        <v>58</v>
      </c>
      <c r="C47" s="6" t="s">
        <v>49</v>
      </c>
      <c r="D47" s="6" t="s">
        <v>50</v>
      </c>
      <c r="E47" s="30">
        <v>3</v>
      </c>
      <c r="F47" s="11">
        <v>5.07167007052898</v>
      </c>
      <c r="G47" s="11">
        <v>0.584722222222222</v>
      </c>
      <c r="H47" s="11">
        <v>8.67364002560776</v>
      </c>
      <c r="I47" s="11">
        <v>-90.6127900396152</v>
      </c>
      <c r="J47" s="11">
        <v>-3.41077744765139</v>
      </c>
      <c r="K47" s="15">
        <v>0.343746462931522</v>
      </c>
      <c r="L47" s="15">
        <v>0.368534238822864</v>
      </c>
      <c r="M47" s="11">
        <v>-95.8167127957658</v>
      </c>
      <c r="N47" s="11">
        <v>-3.44408043563362</v>
      </c>
      <c r="O47" s="15">
        <v>0.285714285714286</v>
      </c>
      <c r="P47" s="15">
        <v>0.329192546583851</v>
      </c>
    </row>
    <row r="48" spans="1:16">
      <c r="A48" s="3" t="s">
        <v>44</v>
      </c>
      <c r="B48" s="7" t="s">
        <v>60</v>
      </c>
      <c r="C48" s="4" t="s">
        <v>49</v>
      </c>
      <c r="D48" s="5" t="s">
        <v>50</v>
      </c>
      <c r="E48" s="29">
        <v>3</v>
      </c>
      <c r="F48" s="10">
        <v>2.608</v>
      </c>
      <c r="G48" s="10">
        <v>0.638</v>
      </c>
      <c r="H48" s="10">
        <v>4.08777429467085</v>
      </c>
      <c r="I48" s="10">
        <v>-90.5037313432836</v>
      </c>
      <c r="J48" s="10">
        <v>5.00618034825871</v>
      </c>
      <c r="K48" s="14">
        <v>0.894278606965174</v>
      </c>
      <c r="L48" s="14">
        <v>0.895522388059702</v>
      </c>
      <c r="M48" s="10">
        <v>-90.2369541284404</v>
      </c>
      <c r="N48" s="10">
        <v>5.18351376146789</v>
      </c>
      <c r="O48" s="14">
        <v>0.908256880733945</v>
      </c>
      <c r="P48" s="14">
        <v>0.908256880733945</v>
      </c>
    </row>
    <row r="49" s="28" customFormat="1" spans="1:16">
      <c r="A49" s="3" t="s">
        <v>51</v>
      </c>
      <c r="B49" s="5" t="s">
        <v>52</v>
      </c>
      <c r="C49" s="5" t="s">
        <v>49</v>
      </c>
      <c r="D49" s="5" t="s">
        <v>50</v>
      </c>
      <c r="E49" s="4">
        <v>1</v>
      </c>
      <c r="F49" s="11">
        <v>5.61482901751995</v>
      </c>
      <c r="G49" s="11">
        <v>0.419086111111111</v>
      </c>
      <c r="H49" s="11">
        <v>13.3977931233119</v>
      </c>
      <c r="I49" s="11">
        <v>-90.4540145985401</v>
      </c>
      <c r="J49" s="11">
        <v>-6.07766879562044</v>
      </c>
      <c r="K49" s="15">
        <v>0.255961070559611</v>
      </c>
      <c r="L49" s="15">
        <v>0.255961070559611</v>
      </c>
      <c r="M49" s="36">
        <v>-92.4684023319244</v>
      </c>
      <c r="N49" s="36">
        <v>-6.22595430698996</v>
      </c>
      <c r="O49" s="37">
        <v>0.159090909090909</v>
      </c>
      <c r="P49" s="37">
        <v>0.159090909090909</v>
      </c>
    </row>
    <row r="50" spans="1:16">
      <c r="A50" s="3" t="s">
        <v>51</v>
      </c>
      <c r="B50" s="6" t="s">
        <v>52</v>
      </c>
      <c r="C50" s="6" t="s">
        <v>49</v>
      </c>
      <c r="D50" s="6" t="s">
        <v>61</v>
      </c>
      <c r="E50" s="29">
        <v>3</v>
      </c>
      <c r="F50" s="11">
        <v>2.12726338416338</v>
      </c>
      <c r="G50" s="11">
        <v>0.450038888888889</v>
      </c>
      <c r="H50" s="11">
        <v>4.72684347216177</v>
      </c>
      <c r="I50" s="11">
        <v>-90.4540145985401</v>
      </c>
      <c r="J50" s="11">
        <v>-6.07766879562044</v>
      </c>
      <c r="K50" s="15">
        <v>0.255961070559611</v>
      </c>
      <c r="L50" s="15">
        <v>0.255961070559611</v>
      </c>
      <c r="M50" s="38">
        <v>-92.4684023319244</v>
      </c>
      <c r="N50" s="38">
        <v>-6.22595430698996</v>
      </c>
      <c r="O50" s="39">
        <v>0.159090909090909</v>
      </c>
      <c r="P50" s="39">
        <v>0.159090909090909</v>
      </c>
    </row>
    <row r="51" spans="1:16">
      <c r="A51" s="3" t="s">
        <v>44</v>
      </c>
      <c r="B51" s="3" t="s">
        <v>59</v>
      </c>
      <c r="C51" s="4" t="s">
        <v>46</v>
      </c>
      <c r="D51" s="5" t="s">
        <v>57</v>
      </c>
      <c r="E51" s="31">
        <v>3</v>
      </c>
      <c r="F51" s="10"/>
      <c r="G51" s="10">
        <v>0.226</v>
      </c>
      <c r="H51" s="10"/>
      <c r="I51" s="10">
        <v>-90.0283018867924</v>
      </c>
      <c r="J51" s="10">
        <v>10.5326477987421</v>
      </c>
      <c r="K51" s="14">
        <v>1</v>
      </c>
      <c r="L51" s="14">
        <v>1</v>
      </c>
      <c r="M51" s="3"/>
      <c r="N51" s="3"/>
      <c r="O51" s="3"/>
      <c r="P51" s="3"/>
    </row>
    <row r="52" spans="1:16">
      <c r="A52" s="3" t="s">
        <v>51</v>
      </c>
      <c r="B52" s="4" t="s">
        <v>62</v>
      </c>
      <c r="C52" s="4" t="s">
        <v>46</v>
      </c>
      <c r="D52" s="4" t="s">
        <v>57</v>
      </c>
      <c r="E52" s="29">
        <v>2</v>
      </c>
      <c r="F52" s="11" t="s">
        <v>54</v>
      </c>
      <c r="G52" s="11">
        <v>0.37495</v>
      </c>
      <c r="H52" s="11" t="s">
        <v>54</v>
      </c>
      <c r="I52" s="11">
        <v>-89.8593054318789</v>
      </c>
      <c r="J52" s="11">
        <v>2.55615306841793</v>
      </c>
      <c r="K52" s="15">
        <v>1</v>
      </c>
      <c r="L52" s="15">
        <v>1</v>
      </c>
      <c r="M52" s="11" t="s">
        <v>54</v>
      </c>
      <c r="N52" s="11" t="s">
        <v>54</v>
      </c>
      <c r="O52" s="15" t="s">
        <v>54</v>
      </c>
      <c r="P52" s="15" t="s">
        <v>54</v>
      </c>
    </row>
    <row r="53" spans="1:16">
      <c r="A53" s="3" t="s">
        <v>44</v>
      </c>
      <c r="B53" s="3" t="s">
        <v>56</v>
      </c>
      <c r="C53" s="4" t="s">
        <v>46</v>
      </c>
      <c r="D53" s="5" t="s">
        <v>53</v>
      </c>
      <c r="E53" s="29">
        <v>1</v>
      </c>
      <c r="F53" s="10"/>
      <c r="G53" s="10">
        <v>0.226</v>
      </c>
      <c r="H53" s="10"/>
      <c r="I53" s="10">
        <v>-89.4335443037975</v>
      </c>
      <c r="J53" s="10">
        <v>7.54485443037975</v>
      </c>
      <c r="K53" s="14">
        <v>1</v>
      </c>
      <c r="L53" s="14">
        <v>1</v>
      </c>
      <c r="M53" s="3"/>
      <c r="N53" s="3"/>
      <c r="O53" s="3"/>
      <c r="P53" s="3"/>
    </row>
    <row r="54" spans="1:16">
      <c r="A54" s="3" t="s">
        <v>44</v>
      </c>
      <c r="B54" s="3" t="s">
        <v>48</v>
      </c>
      <c r="C54" s="4" t="s">
        <v>46</v>
      </c>
      <c r="D54" s="5" t="s">
        <v>57</v>
      </c>
      <c r="E54" s="30">
        <v>1</v>
      </c>
      <c r="F54" s="10"/>
      <c r="G54" s="10">
        <v>0.226</v>
      </c>
      <c r="H54" s="10"/>
      <c r="I54" s="10">
        <v>-89.2264150943396</v>
      </c>
      <c r="J54" s="10">
        <v>11.7230251572327</v>
      </c>
      <c r="K54" s="14">
        <v>1</v>
      </c>
      <c r="L54" s="14">
        <v>1</v>
      </c>
      <c r="M54" s="3"/>
      <c r="N54" s="3"/>
      <c r="O54" s="3"/>
      <c r="P54" s="3"/>
    </row>
    <row r="55" spans="1:16">
      <c r="A55" s="3" t="s">
        <v>51</v>
      </c>
      <c r="B55" s="6" t="s">
        <v>52</v>
      </c>
      <c r="C55" s="6" t="s">
        <v>46</v>
      </c>
      <c r="D55" s="6" t="s">
        <v>47</v>
      </c>
      <c r="E55" s="33">
        <v>3</v>
      </c>
      <c r="F55" s="11" t="s">
        <v>54</v>
      </c>
      <c r="G55" s="11">
        <v>0.436608333333333</v>
      </c>
      <c r="H55" s="11" t="s">
        <v>54</v>
      </c>
      <c r="I55" s="11">
        <v>-88.4167820548325</v>
      </c>
      <c r="J55" s="11">
        <v>-0.389564871226807</v>
      </c>
      <c r="K55" s="15">
        <v>0.527277762392689</v>
      </c>
      <c r="L55" s="15">
        <v>0.527277762392689</v>
      </c>
      <c r="M55" s="3"/>
      <c r="N55" s="3"/>
      <c r="O55" s="3"/>
      <c r="P55" s="3"/>
    </row>
    <row r="56" spans="1:16">
      <c r="A56" s="3" t="s">
        <v>51</v>
      </c>
      <c r="B56" s="5" t="s">
        <v>55</v>
      </c>
      <c r="C56" s="5" t="s">
        <v>46</v>
      </c>
      <c r="D56" s="5" t="s">
        <v>53</v>
      </c>
      <c r="E56" s="33">
        <v>3</v>
      </c>
      <c r="F56" s="11" t="s">
        <v>54</v>
      </c>
      <c r="G56" s="11">
        <v>0.384694444444444</v>
      </c>
      <c r="H56" s="11" t="s">
        <v>54</v>
      </c>
      <c r="I56" s="11">
        <v>-87.9485090909091</v>
      </c>
      <c r="J56" s="11">
        <v>6.63239772727273</v>
      </c>
      <c r="K56" s="15">
        <v>0.996218181818182</v>
      </c>
      <c r="L56" s="15">
        <v>0.996218181818182</v>
      </c>
      <c r="M56" s="11" t="s">
        <v>54</v>
      </c>
      <c r="N56" s="11" t="s">
        <v>54</v>
      </c>
      <c r="O56" s="15" t="s">
        <v>54</v>
      </c>
      <c r="P56" s="15" t="s">
        <v>54</v>
      </c>
    </row>
    <row r="57" spans="1:16">
      <c r="A57" s="3" t="s">
        <v>51</v>
      </c>
      <c r="B57" s="5" t="s">
        <v>55</v>
      </c>
      <c r="C57" s="5" t="s">
        <v>49</v>
      </c>
      <c r="D57" s="5" t="s">
        <v>50</v>
      </c>
      <c r="E57" s="29">
        <v>1</v>
      </c>
      <c r="F57" s="11">
        <v>2.14353608834744</v>
      </c>
      <c r="G57" s="11">
        <v>0.539441666666667</v>
      </c>
      <c r="H57" s="11">
        <v>3.97361980136394</v>
      </c>
      <c r="I57" s="11">
        <v>-87.9319742042854</v>
      </c>
      <c r="J57" s="11">
        <v>5.70207672404826</v>
      </c>
      <c r="K57" s="15">
        <v>0.867900977740795</v>
      </c>
      <c r="L57" s="15">
        <v>0.885479509049303</v>
      </c>
      <c r="M57" s="11">
        <v>-88.5201089244335</v>
      </c>
      <c r="N57" s="11">
        <v>5.77398506564421</v>
      </c>
      <c r="O57" s="15">
        <v>0.888888888888889</v>
      </c>
      <c r="P57" s="15">
        <v>0.911111111111111</v>
      </c>
    </row>
    <row r="58" spans="1:16">
      <c r="A58" s="3" t="s">
        <v>44</v>
      </c>
      <c r="B58" s="3" t="s">
        <v>59</v>
      </c>
      <c r="C58" s="4" t="s">
        <v>46</v>
      </c>
      <c r="D58" s="5" t="s">
        <v>57</v>
      </c>
      <c r="E58" s="30">
        <v>1</v>
      </c>
      <c r="F58" s="10"/>
      <c r="G58" s="10">
        <v>0.226</v>
      </c>
      <c r="H58" s="10"/>
      <c r="I58" s="10">
        <v>-87.7075471698113</v>
      </c>
      <c r="J58" s="10">
        <v>0.283867924528302</v>
      </c>
      <c r="K58" s="14">
        <v>0.99685534591195</v>
      </c>
      <c r="L58" s="14">
        <v>0.99685534591195</v>
      </c>
      <c r="M58" s="3"/>
      <c r="N58" s="3"/>
      <c r="O58" s="3"/>
      <c r="P58" s="3"/>
    </row>
    <row r="59" spans="1:16">
      <c r="A59" s="3" t="s">
        <v>51</v>
      </c>
      <c r="B59" s="6" t="s">
        <v>52</v>
      </c>
      <c r="C59" s="6" t="s">
        <v>46</v>
      </c>
      <c r="D59" s="6" t="s">
        <v>57</v>
      </c>
      <c r="E59" s="30">
        <v>3</v>
      </c>
      <c r="F59" s="11" t="s">
        <v>54</v>
      </c>
      <c r="G59" s="11">
        <v>0.436169444444444</v>
      </c>
      <c r="H59" s="11" t="s">
        <v>54</v>
      </c>
      <c r="I59" s="11">
        <v>-86.5421052631579</v>
      </c>
      <c r="J59" s="11">
        <v>-5.1874177631579</v>
      </c>
      <c r="K59" s="15">
        <v>0.249473684210526</v>
      </c>
      <c r="L59" s="15">
        <v>0.249473684210526</v>
      </c>
      <c r="M59" s="3"/>
      <c r="N59" s="3"/>
      <c r="O59" s="3"/>
      <c r="P59" s="3"/>
    </row>
    <row r="60" spans="1:16">
      <c r="A60" s="3" t="s">
        <v>51</v>
      </c>
      <c r="B60" s="4" t="s">
        <v>58</v>
      </c>
      <c r="C60" s="5" t="s">
        <v>46</v>
      </c>
      <c r="D60" s="6" t="s">
        <v>53</v>
      </c>
      <c r="E60" s="29">
        <v>3</v>
      </c>
      <c r="F60" s="11" t="s">
        <v>54</v>
      </c>
      <c r="G60" s="11">
        <v>0.39375</v>
      </c>
      <c r="H60" s="11" t="s">
        <v>54</v>
      </c>
      <c r="I60" s="11">
        <v>-86.4654388358345</v>
      </c>
      <c r="J60" s="11">
        <v>0.117986869031378</v>
      </c>
      <c r="K60" s="15">
        <v>0.398362892223738</v>
      </c>
      <c r="L60" s="15">
        <v>0.398362892223738</v>
      </c>
      <c r="M60" s="3"/>
      <c r="N60" s="3"/>
      <c r="O60" s="3"/>
      <c r="P60" s="3"/>
    </row>
    <row r="61" spans="1:16">
      <c r="A61" s="3" t="s">
        <v>44</v>
      </c>
      <c r="B61" s="7" t="s">
        <v>60</v>
      </c>
      <c r="C61" s="4" t="s">
        <v>49</v>
      </c>
      <c r="D61" s="5" t="s">
        <v>50</v>
      </c>
      <c r="E61" s="29">
        <v>3</v>
      </c>
      <c r="F61" s="10">
        <v>2.248</v>
      </c>
      <c r="G61" s="10">
        <v>0.263</v>
      </c>
      <c r="H61" s="10">
        <v>8.54752851711027</v>
      </c>
      <c r="I61" s="10">
        <v>-86.2200557103064</v>
      </c>
      <c r="J61" s="10">
        <v>7.60561002785515</v>
      </c>
      <c r="K61" s="14">
        <v>0.955431754874652</v>
      </c>
      <c r="L61" s="14">
        <v>0.96100278551532</v>
      </c>
      <c r="M61" s="10">
        <v>-90.5158981481482</v>
      </c>
      <c r="N61" s="10">
        <v>7.64700925925926</v>
      </c>
      <c r="O61" s="14">
        <v>0.953703703703704</v>
      </c>
      <c r="P61" s="14">
        <v>0.972222222222222</v>
      </c>
    </row>
    <row r="62" spans="1:16">
      <c r="A62" s="3" t="s">
        <v>44</v>
      </c>
      <c r="B62" s="3" t="s">
        <v>59</v>
      </c>
      <c r="C62" s="4" t="s">
        <v>46</v>
      </c>
      <c r="D62" s="5" t="s">
        <v>53</v>
      </c>
      <c r="E62" s="29">
        <v>3</v>
      </c>
      <c r="F62" s="10"/>
      <c r="G62" s="10">
        <v>0.226</v>
      </c>
      <c r="H62" s="10"/>
      <c r="I62" s="10">
        <v>-85.7444794952681</v>
      </c>
      <c r="J62" s="10">
        <v>13.1742365930599</v>
      </c>
      <c r="K62" s="14">
        <v>1</v>
      </c>
      <c r="L62" s="14">
        <v>1</v>
      </c>
      <c r="M62" s="10"/>
      <c r="N62" s="10"/>
      <c r="O62" s="14"/>
      <c r="P62" s="14"/>
    </row>
    <row r="63" spans="1:16">
      <c r="A63" s="3" t="s">
        <v>44</v>
      </c>
      <c r="B63" s="3" t="s">
        <v>59</v>
      </c>
      <c r="C63" s="4" t="s">
        <v>49</v>
      </c>
      <c r="D63" s="5" t="s">
        <v>50</v>
      </c>
      <c r="E63" s="34">
        <v>1</v>
      </c>
      <c r="F63" s="10">
        <v>2.418</v>
      </c>
      <c r="G63" s="10">
        <v>0.623</v>
      </c>
      <c r="H63" s="10">
        <v>3.88121990369181</v>
      </c>
      <c r="I63" s="10">
        <v>-85.1498740554156</v>
      </c>
      <c r="J63" s="10">
        <v>4.50701637279597</v>
      </c>
      <c r="K63" s="14">
        <v>0.926952141057935</v>
      </c>
      <c r="L63" s="14">
        <v>0.926952141057935</v>
      </c>
      <c r="M63" s="10">
        <v>-87.137375</v>
      </c>
      <c r="N63" s="10">
        <v>3.71050892857143</v>
      </c>
      <c r="O63" s="14">
        <v>0.883928571428571</v>
      </c>
      <c r="P63" s="14">
        <v>0.883928571428571</v>
      </c>
    </row>
    <row r="64" spans="1:16">
      <c r="A64" s="3" t="s">
        <v>51</v>
      </c>
      <c r="B64" s="6" t="s">
        <v>55</v>
      </c>
      <c r="C64" s="6" t="s">
        <v>49</v>
      </c>
      <c r="D64" s="6" t="s">
        <v>50</v>
      </c>
      <c r="E64" s="29">
        <v>1</v>
      </c>
      <c r="F64" s="12">
        <v>5.16537125635147</v>
      </c>
      <c r="G64" s="12">
        <v>0.448277777777778</v>
      </c>
      <c r="H64" s="12">
        <v>11.5227020218523</v>
      </c>
      <c r="I64" s="12">
        <v>-84.4762529519811</v>
      </c>
      <c r="J64" s="12">
        <v>1.47867603647337</v>
      </c>
      <c r="K64" s="16">
        <v>0.695880346365783</v>
      </c>
      <c r="L64" s="16">
        <v>0.695880346365783</v>
      </c>
      <c r="M64" s="12">
        <v>-87.9531103576086</v>
      </c>
      <c r="N64" s="12">
        <v>0.688020112155206</v>
      </c>
      <c r="O64" s="16">
        <v>0.619246861924686</v>
      </c>
      <c r="P64" s="16">
        <v>0.619246861924686</v>
      </c>
    </row>
    <row r="65" spans="1:16">
      <c r="A65" s="3" t="s">
        <v>44</v>
      </c>
      <c r="B65" s="3" t="s">
        <v>56</v>
      </c>
      <c r="C65" s="4" t="s">
        <v>46</v>
      </c>
      <c r="D65" s="5" t="s">
        <v>57</v>
      </c>
      <c r="E65" s="29">
        <v>3</v>
      </c>
      <c r="F65" s="10"/>
      <c r="G65" s="10">
        <v>0.226</v>
      </c>
      <c r="H65" s="10"/>
      <c r="I65" s="10">
        <v>-84.4556962025316</v>
      </c>
      <c r="J65" s="10">
        <v>2.44468037974684</v>
      </c>
      <c r="K65" s="14">
        <v>0.974683544303797</v>
      </c>
      <c r="L65" s="14">
        <v>0.974683544303797</v>
      </c>
      <c r="M65" s="3"/>
      <c r="N65" s="3"/>
      <c r="O65" s="3"/>
      <c r="P65" s="3"/>
    </row>
    <row r="66" spans="1:16">
      <c r="A66" s="3" t="s">
        <v>44</v>
      </c>
      <c r="B66" s="3" t="s">
        <v>56</v>
      </c>
      <c r="C66" s="4" t="s">
        <v>46</v>
      </c>
      <c r="D66" s="5" t="s">
        <v>53</v>
      </c>
      <c r="E66" s="32">
        <v>3</v>
      </c>
      <c r="F66" s="10"/>
      <c r="G66" s="10">
        <v>0.226</v>
      </c>
      <c r="H66" s="10"/>
      <c r="I66" s="10">
        <v>-84.397212543554</v>
      </c>
      <c r="J66" s="10">
        <v>2.19811846689895</v>
      </c>
      <c r="K66" s="14">
        <v>0.989547038327526</v>
      </c>
      <c r="L66" s="14">
        <v>0.989547038327526</v>
      </c>
      <c r="M66" s="3"/>
      <c r="N66" s="3"/>
      <c r="O66" s="3"/>
      <c r="P66" s="3"/>
    </row>
    <row r="67" spans="1:16">
      <c r="A67" s="3" t="s">
        <v>51</v>
      </c>
      <c r="B67" s="6" t="s">
        <v>55</v>
      </c>
      <c r="C67" s="6" t="s">
        <v>46</v>
      </c>
      <c r="D67" s="6" t="s">
        <v>47</v>
      </c>
      <c r="E67" s="30">
        <v>2</v>
      </c>
      <c r="F67" s="12" t="s">
        <v>54</v>
      </c>
      <c r="G67" s="12">
        <v>0.395083333333333</v>
      </c>
      <c r="H67" s="12" t="s">
        <v>54</v>
      </c>
      <c r="I67" s="12">
        <v>-84.3090883511536</v>
      </c>
      <c r="J67" s="12">
        <v>9.36736115996061</v>
      </c>
      <c r="K67" s="16">
        <v>1</v>
      </c>
      <c r="L67" s="16">
        <v>1</v>
      </c>
      <c r="M67" s="12" t="s">
        <v>54</v>
      </c>
      <c r="N67" s="12" t="s">
        <v>54</v>
      </c>
      <c r="O67" s="16" t="s">
        <v>54</v>
      </c>
      <c r="P67" s="16" t="s">
        <v>54</v>
      </c>
    </row>
    <row r="68" spans="1:16">
      <c r="A68" s="3" t="s">
        <v>51</v>
      </c>
      <c r="B68" s="4" t="s">
        <v>58</v>
      </c>
      <c r="C68" s="5" t="s">
        <v>46</v>
      </c>
      <c r="D68" s="6" t="s">
        <v>47</v>
      </c>
      <c r="E68" s="29">
        <v>3</v>
      </c>
      <c r="F68" s="11" t="s">
        <v>54</v>
      </c>
      <c r="G68" s="11">
        <v>0.397444444444444</v>
      </c>
      <c r="H68" s="11" t="s">
        <v>54</v>
      </c>
      <c r="I68" s="11">
        <v>-84.2401165210154</v>
      </c>
      <c r="J68" s="11">
        <v>13.1247940941878</v>
      </c>
      <c r="K68" s="15">
        <v>0.790123456790123</v>
      </c>
      <c r="L68" s="15">
        <v>0.790123456790123</v>
      </c>
      <c r="M68" s="3"/>
      <c r="N68" s="3"/>
      <c r="O68" s="3"/>
      <c r="P68" s="3"/>
    </row>
    <row r="69" spans="1:16">
      <c r="A69" s="3" t="s">
        <v>44</v>
      </c>
      <c r="B69" s="3" t="s">
        <v>45</v>
      </c>
      <c r="C69" s="4" t="s">
        <v>46</v>
      </c>
      <c r="D69" s="5" t="s">
        <v>53</v>
      </c>
      <c r="E69" s="31">
        <v>2</v>
      </c>
      <c r="F69" s="10"/>
      <c r="G69" s="10">
        <v>0.226</v>
      </c>
      <c r="H69" s="10"/>
      <c r="I69" s="10">
        <v>-84.1006289308176</v>
      </c>
      <c r="J69" s="10">
        <v>6.95032704402516</v>
      </c>
      <c r="K69" s="14">
        <v>1</v>
      </c>
      <c r="L69" s="14">
        <v>1</v>
      </c>
      <c r="M69" s="3"/>
      <c r="N69" s="3"/>
      <c r="O69" s="3"/>
      <c r="P69" s="3"/>
    </row>
    <row r="70" spans="1:16">
      <c r="A70" s="3" t="s">
        <v>51</v>
      </c>
      <c r="B70" s="4" t="s">
        <v>62</v>
      </c>
      <c r="C70" s="4" t="s">
        <v>46</v>
      </c>
      <c r="D70" s="4" t="s">
        <v>53</v>
      </c>
      <c r="E70" s="29">
        <v>2</v>
      </c>
      <c r="F70" s="11" t="s">
        <v>54</v>
      </c>
      <c r="G70" s="11">
        <v>0.381611111111111</v>
      </c>
      <c r="H70" s="11" t="s">
        <v>54</v>
      </c>
      <c r="I70" s="11">
        <v>-83.7538282047543</v>
      </c>
      <c r="J70" s="11">
        <v>8.52044443634242</v>
      </c>
      <c r="K70" s="15">
        <v>0.982645471780662</v>
      </c>
      <c r="L70" s="15">
        <v>0.986291381070439</v>
      </c>
      <c r="M70" s="11" t="s">
        <v>54</v>
      </c>
      <c r="N70" s="11" t="s">
        <v>54</v>
      </c>
      <c r="O70" s="15" t="s">
        <v>54</v>
      </c>
      <c r="P70" s="15" t="s">
        <v>54</v>
      </c>
    </row>
    <row r="71" spans="1:16">
      <c r="A71" s="3" t="s">
        <v>44</v>
      </c>
      <c r="B71" s="3" t="s">
        <v>48</v>
      </c>
      <c r="C71" s="4" t="s">
        <v>46</v>
      </c>
      <c r="D71" s="5" t="s">
        <v>47</v>
      </c>
      <c r="E71" s="29">
        <v>3</v>
      </c>
      <c r="F71" s="10"/>
      <c r="G71" s="10">
        <v>0.226</v>
      </c>
      <c r="H71" s="10"/>
      <c r="I71" s="10">
        <v>-83.3904109589041</v>
      </c>
      <c r="J71" s="10">
        <v>11.8742260273973</v>
      </c>
      <c r="K71" s="14">
        <v>0.979452054794521</v>
      </c>
      <c r="L71" s="14">
        <v>0.979452054794521</v>
      </c>
      <c r="M71" s="3"/>
      <c r="N71" s="3"/>
      <c r="O71" s="3"/>
      <c r="P71" s="3"/>
    </row>
    <row r="72" spans="1:16">
      <c r="A72" s="3" t="s">
        <v>44</v>
      </c>
      <c r="B72" s="3" t="s">
        <v>45</v>
      </c>
      <c r="C72" s="4" t="s">
        <v>46</v>
      </c>
      <c r="D72" s="5" t="s">
        <v>47</v>
      </c>
      <c r="E72" s="34">
        <v>1</v>
      </c>
      <c r="F72" s="10"/>
      <c r="G72" s="10">
        <v>0.226</v>
      </c>
      <c r="H72" s="10"/>
      <c r="I72" s="10">
        <v>-82.9905660377358</v>
      </c>
      <c r="J72" s="10">
        <v>4.43410691823899</v>
      </c>
      <c r="K72" s="14">
        <v>1</v>
      </c>
      <c r="L72" s="14">
        <v>1</v>
      </c>
      <c r="M72" s="3"/>
      <c r="N72" s="3"/>
      <c r="O72" s="3"/>
      <c r="P72" s="3"/>
    </row>
    <row r="73" spans="1:16">
      <c r="A73" s="3" t="s">
        <v>51</v>
      </c>
      <c r="B73" s="6" t="s">
        <v>55</v>
      </c>
      <c r="C73" s="6" t="s">
        <v>49</v>
      </c>
      <c r="D73" s="6" t="s">
        <v>61</v>
      </c>
      <c r="E73" s="29">
        <v>3</v>
      </c>
      <c r="F73" s="12">
        <v>2.15796139836311</v>
      </c>
      <c r="G73" s="12">
        <v>0.457469444444444</v>
      </c>
      <c r="H73" s="12">
        <v>4.71717056640529</v>
      </c>
      <c r="I73" s="12">
        <v>-82.654083395016</v>
      </c>
      <c r="J73" s="12">
        <v>1.7600292221811</v>
      </c>
      <c r="K73" s="16">
        <v>0.76980014803849</v>
      </c>
      <c r="L73" s="16">
        <v>0.76980014803849</v>
      </c>
      <c r="M73" s="12">
        <v>-83.0382747739444</v>
      </c>
      <c r="N73" s="12">
        <v>1.07267031704568</v>
      </c>
      <c r="O73" s="16">
        <v>0.71</v>
      </c>
      <c r="P73" s="16">
        <v>0.71</v>
      </c>
    </row>
    <row r="74" spans="1:16">
      <c r="A74" s="3" t="s">
        <v>44</v>
      </c>
      <c r="B74" s="3" t="s">
        <v>56</v>
      </c>
      <c r="C74" s="4" t="s">
        <v>46</v>
      </c>
      <c r="D74" s="5" t="s">
        <v>47</v>
      </c>
      <c r="E74" s="31">
        <v>2</v>
      </c>
      <c r="F74" s="10"/>
      <c r="G74" s="10">
        <v>0.226</v>
      </c>
      <c r="H74" s="10"/>
      <c r="I74" s="10">
        <v>-82.4811320754717</v>
      </c>
      <c r="J74" s="10">
        <v>7.08979245283019</v>
      </c>
      <c r="K74" s="14">
        <v>1</v>
      </c>
      <c r="L74" s="14">
        <v>1</v>
      </c>
      <c r="M74" s="3"/>
      <c r="N74" s="3"/>
      <c r="O74" s="3"/>
      <c r="P74" s="3"/>
    </row>
    <row r="75" spans="1:16">
      <c r="A75" s="3" t="s">
        <v>51</v>
      </c>
      <c r="B75" s="4" t="s">
        <v>62</v>
      </c>
      <c r="C75" s="4" t="s">
        <v>49</v>
      </c>
      <c r="D75" s="4" t="s">
        <v>50</v>
      </c>
      <c r="E75" s="31">
        <v>3</v>
      </c>
      <c r="F75" s="11">
        <v>2.17067472726107</v>
      </c>
      <c r="G75" s="11">
        <v>0.504916666666667</v>
      </c>
      <c r="H75" s="11">
        <f>IFERROR(F75/G75,"")</f>
        <v>4.29907521490887</v>
      </c>
      <c r="I75" s="11">
        <v>-82.3930207197383</v>
      </c>
      <c r="J75" s="11">
        <v>4.80050436205016</v>
      </c>
      <c r="K75" s="15">
        <v>0.866521264994547</v>
      </c>
      <c r="L75" s="15">
        <v>0.869247546346783</v>
      </c>
      <c r="M75" s="11">
        <v>-82.7773399287469</v>
      </c>
      <c r="N75" s="11">
        <v>4.81456929428784</v>
      </c>
      <c r="O75" s="15">
        <v>0.893617021276596</v>
      </c>
      <c r="P75" s="15">
        <v>0.893617021276596</v>
      </c>
    </row>
    <row r="76" spans="1:16">
      <c r="A76" s="3" t="s">
        <v>51</v>
      </c>
      <c r="B76" s="4" t="s">
        <v>62</v>
      </c>
      <c r="C76" s="4" t="s">
        <v>46</v>
      </c>
      <c r="D76" s="4" t="s">
        <v>53</v>
      </c>
      <c r="E76" s="29">
        <v>3</v>
      </c>
      <c r="F76" s="11"/>
      <c r="G76" s="11">
        <v>0.381694444444444</v>
      </c>
      <c r="H76" s="11"/>
      <c r="I76" s="11">
        <v>-82.3662053896577</v>
      </c>
      <c r="J76" s="11">
        <v>10.9128391296431</v>
      </c>
      <c r="K76" s="15">
        <v>0.910415149308085</v>
      </c>
      <c r="L76" s="15">
        <v>0.910415149308085</v>
      </c>
      <c r="M76" s="11"/>
      <c r="N76" s="11"/>
      <c r="O76" s="15"/>
      <c r="P76" s="15"/>
    </row>
    <row r="77" spans="1:16">
      <c r="A77" s="3" t="s">
        <v>44</v>
      </c>
      <c r="B77" s="7" t="s">
        <v>60</v>
      </c>
      <c r="C77" s="4" t="s">
        <v>46</v>
      </c>
      <c r="D77" s="5" t="s">
        <v>57</v>
      </c>
      <c r="E77" s="30">
        <v>3</v>
      </c>
      <c r="F77" s="10"/>
      <c r="G77" s="10">
        <v>0.226</v>
      </c>
      <c r="H77" s="10"/>
      <c r="I77" s="10">
        <v>-82.3238993710692</v>
      </c>
      <c r="J77" s="10">
        <v>8.73790566037736</v>
      </c>
      <c r="K77" s="14">
        <v>1</v>
      </c>
      <c r="L77" s="14">
        <v>1</v>
      </c>
      <c r="M77" s="3"/>
      <c r="N77" s="3"/>
      <c r="O77" s="3"/>
      <c r="P77" s="3"/>
    </row>
    <row r="78" spans="1:16">
      <c r="A78" s="3" t="s">
        <v>51</v>
      </c>
      <c r="B78" s="4" t="s">
        <v>62</v>
      </c>
      <c r="C78" s="4" t="s">
        <v>49</v>
      </c>
      <c r="D78" s="4" t="s">
        <v>61</v>
      </c>
      <c r="E78" s="29">
        <v>1</v>
      </c>
      <c r="F78" s="11">
        <v>2.1691858626008</v>
      </c>
      <c r="G78" s="11">
        <v>0.504916666666667</v>
      </c>
      <c r="H78" s="11">
        <v>4.29612648146718</v>
      </c>
      <c r="I78" s="11">
        <v>-81.9056582881187</v>
      </c>
      <c r="J78" s="11">
        <v>9.15560811371941</v>
      </c>
      <c r="K78" s="15">
        <v>0.987044624072639</v>
      </c>
      <c r="L78" s="15">
        <v>0.987044624072639</v>
      </c>
      <c r="M78" s="11">
        <v>-81.2573434507457</v>
      </c>
      <c r="N78" s="11">
        <v>9.69109967668706</v>
      </c>
      <c r="O78" s="15">
        <v>1</v>
      </c>
      <c r="P78" s="15">
        <v>1</v>
      </c>
    </row>
    <row r="79" spans="1:16">
      <c r="A79" s="3" t="s">
        <v>44</v>
      </c>
      <c r="B79" s="3" t="s">
        <v>45</v>
      </c>
      <c r="C79" s="4" t="s">
        <v>46</v>
      </c>
      <c r="D79" s="5" t="s">
        <v>47</v>
      </c>
      <c r="E79" s="32">
        <v>3</v>
      </c>
      <c r="F79" s="10"/>
      <c r="G79" s="10">
        <v>0.226</v>
      </c>
      <c r="H79" s="10"/>
      <c r="I79" s="10">
        <v>-81.820189274448</v>
      </c>
      <c r="J79" s="10">
        <v>7.53846372239748</v>
      </c>
      <c r="K79" s="14">
        <v>1</v>
      </c>
      <c r="L79" s="14">
        <v>1</v>
      </c>
      <c r="M79" s="3"/>
      <c r="N79" s="3"/>
      <c r="O79" s="3"/>
      <c r="P79" s="3"/>
    </row>
    <row r="80" spans="1:16">
      <c r="A80" s="3" t="s">
        <v>51</v>
      </c>
      <c r="B80" s="6" t="s">
        <v>55</v>
      </c>
      <c r="C80" s="6" t="s">
        <v>49</v>
      </c>
      <c r="D80" s="6" t="s">
        <v>50</v>
      </c>
      <c r="E80" s="30">
        <v>3</v>
      </c>
      <c r="F80" s="12">
        <v>5.16537125635147</v>
      </c>
      <c r="G80" s="12">
        <v>0.448111111111111</v>
      </c>
      <c r="H80" s="12">
        <v>11.5269876784436</v>
      </c>
      <c r="I80" s="12">
        <v>-81.655453870888</v>
      </c>
      <c r="J80" s="12">
        <v>7.95457619651249</v>
      </c>
      <c r="K80" s="16">
        <v>0.938164729161514</v>
      </c>
      <c r="L80" s="16">
        <v>0.941503833786792</v>
      </c>
      <c r="M80" s="12">
        <v>-81.4268823496914</v>
      </c>
      <c r="N80" s="12">
        <v>8.20842524294597</v>
      </c>
      <c r="O80" s="16">
        <v>0.942622950819672</v>
      </c>
      <c r="P80" s="16">
        <v>0.942622950819672</v>
      </c>
    </row>
    <row r="81" spans="1:16">
      <c r="A81" s="3" t="s">
        <v>51</v>
      </c>
      <c r="B81" s="6" t="s">
        <v>52</v>
      </c>
      <c r="C81" s="6" t="s">
        <v>46</v>
      </c>
      <c r="D81" s="6" t="s">
        <v>47</v>
      </c>
      <c r="E81" s="29">
        <v>1</v>
      </c>
      <c r="F81" s="11" t="s">
        <v>54</v>
      </c>
      <c r="G81" s="11">
        <v>0.436447222222222</v>
      </c>
      <c r="H81" s="11" t="s">
        <v>54</v>
      </c>
      <c r="I81" s="11">
        <v>-81.5532891381948</v>
      </c>
      <c r="J81" s="11">
        <v>9.01120681412545</v>
      </c>
      <c r="K81" s="15">
        <v>0.998215196328404</v>
      </c>
      <c r="L81" s="15">
        <v>0.998215196328404</v>
      </c>
      <c r="M81" s="3"/>
      <c r="N81" s="3"/>
      <c r="O81" s="3"/>
      <c r="P81" s="3"/>
    </row>
    <row r="82" spans="1:16">
      <c r="A82" s="3" t="s">
        <v>44</v>
      </c>
      <c r="B82" s="3" t="s">
        <v>48</v>
      </c>
      <c r="C82" s="4" t="s">
        <v>46</v>
      </c>
      <c r="D82" s="5" t="s">
        <v>47</v>
      </c>
      <c r="E82" s="30">
        <v>2</v>
      </c>
      <c r="F82" s="10"/>
      <c r="G82" s="10">
        <v>0.226</v>
      </c>
      <c r="H82" s="10"/>
      <c r="I82" s="10">
        <v>-81.0162337662338</v>
      </c>
      <c r="J82" s="10">
        <v>13.2776720779221</v>
      </c>
      <c r="K82" s="14">
        <v>0.99025974025974</v>
      </c>
      <c r="L82" s="14">
        <v>0.99025974025974</v>
      </c>
      <c r="M82" s="3"/>
      <c r="N82" s="3"/>
      <c r="O82" s="3"/>
      <c r="P82" s="3"/>
    </row>
    <row r="83" spans="1:16">
      <c r="A83" s="3" t="s">
        <v>51</v>
      </c>
      <c r="B83" s="6" t="s">
        <v>52</v>
      </c>
      <c r="C83" s="6" t="s">
        <v>46</v>
      </c>
      <c r="D83" s="6" t="s">
        <v>53</v>
      </c>
      <c r="E83" s="32">
        <v>3</v>
      </c>
      <c r="F83" s="11" t="s">
        <v>54</v>
      </c>
      <c r="G83" s="11">
        <v>0.485975</v>
      </c>
      <c r="H83" s="11" t="s">
        <v>54</v>
      </c>
      <c r="I83" s="11">
        <v>-80.5804091896217</v>
      </c>
      <c r="J83" s="11">
        <v>0.56698444107898</v>
      </c>
      <c r="K83" s="15">
        <v>0.869813692993485</v>
      </c>
      <c r="L83" s="15">
        <v>0.870613784432507</v>
      </c>
      <c r="M83" s="3"/>
      <c r="N83" s="3"/>
      <c r="O83" s="3"/>
      <c r="P83" s="3"/>
    </row>
    <row r="84" spans="1:16">
      <c r="A84" s="3" t="s">
        <v>51</v>
      </c>
      <c r="B84" s="6" t="s">
        <v>55</v>
      </c>
      <c r="C84" s="6" t="s">
        <v>49</v>
      </c>
      <c r="D84" s="6" t="s">
        <v>61</v>
      </c>
      <c r="E84" s="30">
        <v>2</v>
      </c>
      <c r="F84" s="12">
        <v>2.15796139836311</v>
      </c>
      <c r="G84" s="12">
        <v>0.457330555555556</v>
      </c>
      <c r="H84" s="12">
        <v>4.71860314634273</v>
      </c>
      <c r="I84" s="12">
        <v>-80.5020007275373</v>
      </c>
      <c r="J84" s="12">
        <v>6.99122597611253</v>
      </c>
      <c r="K84" s="16">
        <v>0.987146841275615</v>
      </c>
      <c r="L84" s="16">
        <v>0.987146841275615</v>
      </c>
      <c r="M84" s="12">
        <v>-80.0844196672662</v>
      </c>
      <c r="N84" s="12">
        <v>7.15371251555521</v>
      </c>
      <c r="O84" s="16">
        <v>0.98</v>
      </c>
      <c r="P84" s="16">
        <v>0.98</v>
      </c>
    </row>
    <row r="85" spans="1:16">
      <c r="A85" s="3" t="s">
        <v>51</v>
      </c>
      <c r="B85" s="4" t="s">
        <v>58</v>
      </c>
      <c r="C85" s="6" t="s">
        <v>49</v>
      </c>
      <c r="D85" s="6" t="s">
        <v>61</v>
      </c>
      <c r="E85" s="29">
        <v>2</v>
      </c>
      <c r="F85" s="11">
        <v>2.04708282619715</v>
      </c>
      <c r="G85" s="11">
        <v>0.316969444444444</v>
      </c>
      <c r="H85" s="11">
        <v>6.4582970443258</v>
      </c>
      <c r="I85" s="11">
        <v>-80.3973641451526</v>
      </c>
      <c r="J85" s="11">
        <v>6.62034268369742</v>
      </c>
      <c r="K85" s="15">
        <v>0.901065174219173</v>
      </c>
      <c r="L85" s="15">
        <v>0.90305109225492</v>
      </c>
      <c r="M85" s="11">
        <v>-85.4612126074168</v>
      </c>
      <c r="N85" s="11">
        <v>7.86314578304161</v>
      </c>
      <c r="O85" s="15">
        <v>0.895833333333333</v>
      </c>
      <c r="P85" s="15">
        <v>0.90625</v>
      </c>
    </row>
    <row r="86" spans="1:16">
      <c r="A86" s="3" t="s">
        <v>44</v>
      </c>
      <c r="B86" s="3" t="s">
        <v>59</v>
      </c>
      <c r="C86" s="4" t="s">
        <v>46</v>
      </c>
      <c r="D86" s="5" t="s">
        <v>47</v>
      </c>
      <c r="E86" s="32">
        <v>2</v>
      </c>
      <c r="F86" s="10"/>
      <c r="G86" s="10">
        <v>0.226</v>
      </c>
      <c r="H86" s="10"/>
      <c r="I86" s="10">
        <v>-80.2965299684543</v>
      </c>
      <c r="J86" s="10">
        <v>-1.11725552050473</v>
      </c>
      <c r="K86" s="14">
        <v>0.962145110410095</v>
      </c>
      <c r="L86" s="14">
        <v>0.962145110410095</v>
      </c>
      <c r="M86" s="3"/>
      <c r="N86" s="3"/>
      <c r="O86" s="3"/>
      <c r="P86" s="3"/>
    </row>
    <row r="87" spans="1:16">
      <c r="A87" s="3" t="s">
        <v>51</v>
      </c>
      <c r="B87" s="6" t="s">
        <v>55</v>
      </c>
      <c r="C87" s="6" t="s">
        <v>49</v>
      </c>
      <c r="D87" s="6" t="s">
        <v>50</v>
      </c>
      <c r="E87" s="29">
        <v>3</v>
      </c>
      <c r="F87" s="12">
        <v>5.16537125635147</v>
      </c>
      <c r="G87" s="12">
        <v>0.44795</v>
      </c>
      <c r="H87" s="12">
        <v>11.5311335112211</v>
      </c>
      <c r="I87" s="12">
        <v>-79.7923579688286</v>
      </c>
      <c r="J87" s="12">
        <v>5.52218844268477</v>
      </c>
      <c r="K87" s="16">
        <v>0.895173453996983</v>
      </c>
      <c r="L87" s="16">
        <v>0.896807440925088</v>
      </c>
      <c r="M87" s="12">
        <v>-78.6497636947566</v>
      </c>
      <c r="N87" s="12">
        <v>5.45311841297413</v>
      </c>
      <c r="O87" s="16">
        <v>0.925925925925926</v>
      </c>
      <c r="P87" s="16">
        <v>0.938271604938272</v>
      </c>
    </row>
    <row r="88" spans="1:16">
      <c r="A88" s="3" t="s">
        <v>44</v>
      </c>
      <c r="B88" s="3" t="s">
        <v>45</v>
      </c>
      <c r="C88" s="4" t="s">
        <v>46</v>
      </c>
      <c r="D88" s="5" t="s">
        <v>53</v>
      </c>
      <c r="E88" s="29">
        <v>1</v>
      </c>
      <c r="F88" s="10"/>
      <c r="G88" s="10">
        <v>0.226</v>
      </c>
      <c r="H88" s="10"/>
      <c r="I88" s="10">
        <v>-79.2610062893082</v>
      </c>
      <c r="J88" s="10">
        <v>11.1497264150943</v>
      </c>
      <c r="K88" s="14">
        <v>1</v>
      </c>
      <c r="L88" s="14">
        <v>1</v>
      </c>
      <c r="M88" s="3"/>
      <c r="N88" s="3"/>
      <c r="O88" s="3"/>
      <c r="P88" s="3"/>
    </row>
    <row r="89" spans="1:16">
      <c r="A89" s="3" t="s">
        <v>44</v>
      </c>
      <c r="B89" s="3" t="s">
        <v>48</v>
      </c>
      <c r="C89" s="4" t="s">
        <v>46</v>
      </c>
      <c r="D89" s="5" t="s">
        <v>53</v>
      </c>
      <c r="E89" s="34">
        <v>3</v>
      </c>
      <c r="F89" s="10"/>
      <c r="G89" s="10">
        <v>0.226</v>
      </c>
      <c r="H89" s="10"/>
      <c r="I89" s="10">
        <v>-79.2358208955224</v>
      </c>
      <c r="J89" s="10">
        <v>11.8292925373134</v>
      </c>
      <c r="K89" s="14">
        <v>0.967164179104478</v>
      </c>
      <c r="L89" s="14">
        <v>0.967164179104478</v>
      </c>
      <c r="M89" s="3"/>
      <c r="N89" s="3"/>
      <c r="O89" s="3"/>
      <c r="P89" s="3"/>
    </row>
    <row r="90" spans="1:16">
      <c r="A90" s="3" t="s">
        <v>51</v>
      </c>
      <c r="B90" s="6" t="s">
        <v>55</v>
      </c>
      <c r="C90" s="6" t="s">
        <v>49</v>
      </c>
      <c r="D90" s="6" t="s">
        <v>50</v>
      </c>
      <c r="E90" s="31">
        <v>1</v>
      </c>
      <c r="F90" s="12">
        <v>1.83603561258316</v>
      </c>
      <c r="G90" s="12">
        <v>0.400336111111111</v>
      </c>
      <c r="H90" s="12">
        <v>4.58623531983498</v>
      </c>
      <c r="I90" s="12">
        <v>-79.146828723107</v>
      </c>
      <c r="J90" s="12">
        <v>6.56083010268231</v>
      </c>
      <c r="K90" s="16">
        <v>0.974294495669181</v>
      </c>
      <c r="L90" s="16">
        <v>0.974294495669181</v>
      </c>
      <c r="M90" s="12">
        <v>-80.2886581736251</v>
      </c>
      <c r="N90" s="12">
        <v>6.15731095721264</v>
      </c>
      <c r="O90" s="16">
        <v>0.978947368421053</v>
      </c>
      <c r="P90" s="16">
        <v>0.978947368421053</v>
      </c>
    </row>
    <row r="91" spans="1:16">
      <c r="A91" s="3" t="s">
        <v>51</v>
      </c>
      <c r="B91" s="5" t="s">
        <v>55</v>
      </c>
      <c r="C91" s="5" t="s">
        <v>49</v>
      </c>
      <c r="D91" s="5" t="s">
        <v>50</v>
      </c>
      <c r="E91" s="30">
        <v>2</v>
      </c>
      <c r="F91" s="11">
        <v>2.14353608834744</v>
      </c>
      <c r="G91" s="11">
        <v>0.539633333333333</v>
      </c>
      <c r="H91" s="11">
        <v>3.97220845329687</v>
      </c>
      <c r="I91" s="11">
        <v>-79.0359170193002</v>
      </c>
      <c r="J91" s="11">
        <v>1.65413903653628</v>
      </c>
      <c r="K91" s="15">
        <v>0.852100319950459</v>
      </c>
      <c r="L91" s="15">
        <v>0.853338837857364</v>
      </c>
      <c r="M91" s="11">
        <v>-79.5794853288366</v>
      </c>
      <c r="N91" s="11">
        <v>1.74134958640997</v>
      </c>
      <c r="O91" s="15">
        <v>0.844444444444444</v>
      </c>
      <c r="P91" s="15">
        <v>0.844444444444444</v>
      </c>
    </row>
    <row r="92" spans="1:16">
      <c r="A92" s="3" t="s">
        <v>51</v>
      </c>
      <c r="B92" s="6" t="s">
        <v>52</v>
      </c>
      <c r="C92" s="6" t="s">
        <v>46</v>
      </c>
      <c r="D92" s="6" t="s">
        <v>47</v>
      </c>
      <c r="E92" s="29">
        <v>1</v>
      </c>
      <c r="F92" s="11" t="s">
        <v>54</v>
      </c>
      <c r="G92" s="11">
        <v>0.436277777777778</v>
      </c>
      <c r="H92" s="11" t="s">
        <v>54</v>
      </c>
      <c r="I92" s="11">
        <v>-78.8944012243336</v>
      </c>
      <c r="J92" s="11">
        <v>5.38329175168984</v>
      </c>
      <c r="K92" s="15">
        <v>1</v>
      </c>
      <c r="L92" s="15">
        <v>1</v>
      </c>
      <c r="M92" s="3"/>
      <c r="N92" s="3"/>
      <c r="O92" s="3"/>
      <c r="P92" s="3"/>
    </row>
    <row r="93" spans="1:16">
      <c r="A93" s="3" t="s">
        <v>44</v>
      </c>
      <c r="B93" s="3" t="s">
        <v>48</v>
      </c>
      <c r="C93" s="4" t="s">
        <v>49</v>
      </c>
      <c r="D93" s="5" t="s">
        <v>50</v>
      </c>
      <c r="E93" s="29">
        <v>1</v>
      </c>
      <c r="F93" s="10">
        <v>5.92</v>
      </c>
      <c r="G93" s="10">
        <v>0.753</v>
      </c>
      <c r="H93" s="10">
        <v>7.86188579017264</v>
      </c>
      <c r="I93" s="10">
        <v>-78.7984790874525</v>
      </c>
      <c r="J93" s="10">
        <v>9.95457414448669</v>
      </c>
      <c r="K93" s="14">
        <v>0.96958174904943</v>
      </c>
      <c r="L93" s="14">
        <v>0.972433460076046</v>
      </c>
      <c r="M93" s="10">
        <v>-79.1663228346457</v>
      </c>
      <c r="N93" s="10">
        <v>9.16031102362205</v>
      </c>
      <c r="O93" s="14">
        <v>0.968503937007874</v>
      </c>
      <c r="P93" s="14">
        <v>0.968503937007874</v>
      </c>
    </row>
    <row r="94" spans="1:16">
      <c r="A94" s="3" t="s">
        <v>44</v>
      </c>
      <c r="B94" s="7" t="s">
        <v>60</v>
      </c>
      <c r="C94" s="4" t="s">
        <v>46</v>
      </c>
      <c r="D94" s="5" t="s">
        <v>53</v>
      </c>
      <c r="E94" s="29">
        <v>1</v>
      </c>
      <c r="F94" s="10"/>
      <c r="G94" s="10">
        <v>0.226</v>
      </c>
      <c r="H94" s="10"/>
      <c r="I94" s="10">
        <v>-78.7830188679245</v>
      </c>
      <c r="J94" s="10">
        <v>10.2829968553459</v>
      </c>
      <c r="K94" s="14">
        <v>1</v>
      </c>
      <c r="L94" s="14">
        <v>1</v>
      </c>
      <c r="M94" s="10"/>
      <c r="N94" s="10"/>
      <c r="O94" s="14"/>
      <c r="P94" s="14"/>
    </row>
    <row r="95" spans="1:16">
      <c r="A95" s="3" t="s">
        <v>44</v>
      </c>
      <c r="B95" s="3" t="s">
        <v>56</v>
      </c>
      <c r="C95" s="4" t="s">
        <v>49</v>
      </c>
      <c r="D95" s="5" t="s">
        <v>61</v>
      </c>
      <c r="E95" s="31">
        <v>1</v>
      </c>
      <c r="F95" s="10">
        <v>6.099</v>
      </c>
      <c r="G95" s="10">
        <v>0.567</v>
      </c>
      <c r="H95" s="10">
        <v>10.7566137566138</v>
      </c>
      <c r="I95" s="10">
        <v>-78.4179894179894</v>
      </c>
      <c r="J95" s="10">
        <v>2.79814021164021</v>
      </c>
      <c r="K95" s="14">
        <v>0.884920634920635</v>
      </c>
      <c r="L95" s="14">
        <v>0.884920634920635</v>
      </c>
      <c r="M95" s="10">
        <v>-79.1846312056738</v>
      </c>
      <c r="N95" s="10">
        <v>2.11226241134752</v>
      </c>
      <c r="O95" s="14">
        <v>0.843971631205674</v>
      </c>
      <c r="P95" s="14">
        <v>0.843971631205674</v>
      </c>
    </row>
    <row r="96" spans="1:16">
      <c r="A96" s="3" t="s">
        <v>51</v>
      </c>
      <c r="B96" s="5" t="s">
        <v>63</v>
      </c>
      <c r="C96" s="5" t="s">
        <v>46</v>
      </c>
      <c r="D96" s="5" t="s">
        <v>53</v>
      </c>
      <c r="E96" s="29">
        <v>1</v>
      </c>
      <c r="F96" s="11" t="s">
        <v>54</v>
      </c>
      <c r="G96" s="11">
        <v>0.411194444444444</v>
      </c>
      <c r="H96" s="11" t="s">
        <v>54</v>
      </c>
      <c r="I96" s="11">
        <v>-78.3049654985793</v>
      </c>
      <c r="J96" s="11">
        <v>5.5028286091192</v>
      </c>
      <c r="K96" s="15">
        <v>1</v>
      </c>
      <c r="L96" s="15">
        <v>1</v>
      </c>
      <c r="M96" s="3"/>
      <c r="N96" s="3"/>
      <c r="O96" s="3"/>
      <c r="P96" s="3"/>
    </row>
    <row r="97" spans="1:16">
      <c r="A97" s="3" t="s">
        <v>44</v>
      </c>
      <c r="B97" s="3" t="s">
        <v>45</v>
      </c>
      <c r="C97" s="4" t="s">
        <v>46</v>
      </c>
      <c r="D97" s="5" t="s">
        <v>53</v>
      </c>
      <c r="E97" s="29">
        <v>2</v>
      </c>
      <c r="F97" s="10"/>
      <c r="G97" s="10">
        <v>0.226</v>
      </c>
      <c r="H97" s="10"/>
      <c r="I97" s="10">
        <v>-78.2460567823344</v>
      </c>
      <c r="J97" s="10">
        <v>1.96750788643533</v>
      </c>
      <c r="K97" s="14">
        <v>0.984227129337539</v>
      </c>
      <c r="L97" s="14">
        <v>0.984227129337539</v>
      </c>
      <c r="M97" s="3"/>
      <c r="N97" s="3"/>
      <c r="O97" s="3"/>
      <c r="P97" s="3"/>
    </row>
    <row r="98" spans="1:16">
      <c r="A98" s="3" t="s">
        <v>44</v>
      </c>
      <c r="B98" s="3" t="s">
        <v>48</v>
      </c>
      <c r="C98" s="4" t="s">
        <v>49</v>
      </c>
      <c r="D98" s="5" t="s">
        <v>50</v>
      </c>
      <c r="E98" s="29">
        <v>2</v>
      </c>
      <c r="F98" s="10">
        <v>5.92</v>
      </c>
      <c r="G98" s="10">
        <v>0.753</v>
      </c>
      <c r="H98" s="10">
        <v>7.86188579017264</v>
      </c>
      <c r="I98" s="10">
        <v>-77.9608610567515</v>
      </c>
      <c r="J98" s="10">
        <v>7.14870547945205</v>
      </c>
      <c r="K98" s="14">
        <v>0.975538160469667</v>
      </c>
      <c r="L98" s="14">
        <v>0.975538160469667</v>
      </c>
      <c r="M98" s="10">
        <v>-77.6335564202335</v>
      </c>
      <c r="N98" s="10">
        <v>6.80921011673152</v>
      </c>
      <c r="O98" s="14">
        <v>0.957198443579767</v>
      </c>
      <c r="P98" s="14">
        <v>0.957198443579767</v>
      </c>
    </row>
    <row r="99" spans="1:16">
      <c r="A99" s="3" t="s">
        <v>44</v>
      </c>
      <c r="B99" s="3" t="s">
        <v>48</v>
      </c>
      <c r="C99" s="4" t="s">
        <v>46</v>
      </c>
      <c r="D99" s="5" t="s">
        <v>53</v>
      </c>
      <c r="E99" s="29">
        <v>2</v>
      </c>
      <c r="F99" s="10"/>
      <c r="G99" s="10">
        <v>0.226</v>
      </c>
      <c r="H99" s="10"/>
      <c r="I99" s="10">
        <v>-77.9182389937107</v>
      </c>
      <c r="J99" s="10">
        <v>3.89480503144654</v>
      </c>
      <c r="K99" s="14">
        <v>1</v>
      </c>
      <c r="L99" s="14">
        <v>1</v>
      </c>
      <c r="M99" s="3"/>
      <c r="N99" s="3"/>
      <c r="O99" s="3"/>
      <c r="P99" s="3"/>
    </row>
    <row r="100" spans="1:16">
      <c r="A100" s="3" t="s">
        <v>44</v>
      </c>
      <c r="B100" s="3" t="s">
        <v>48</v>
      </c>
      <c r="C100" s="4" t="s">
        <v>49</v>
      </c>
      <c r="D100" s="5" t="s">
        <v>50</v>
      </c>
      <c r="E100" s="29">
        <v>3</v>
      </c>
      <c r="F100" s="10">
        <v>2.784</v>
      </c>
      <c r="G100" s="10">
        <v>0.673</v>
      </c>
      <c r="H100" s="10">
        <v>4.13670133729569</v>
      </c>
      <c r="I100" s="10">
        <v>-77.8369565217391</v>
      </c>
      <c r="J100" s="10">
        <v>10.5855445652174</v>
      </c>
      <c r="K100" s="14">
        <v>0.953260869565217</v>
      </c>
      <c r="L100" s="14">
        <v>0.977173913043478</v>
      </c>
      <c r="M100" s="10">
        <v>-77.1703858267716</v>
      </c>
      <c r="N100" s="10">
        <v>10.9026299212598</v>
      </c>
      <c r="O100" s="14">
        <v>0.968503937007874</v>
      </c>
      <c r="P100" s="14">
        <v>0.976377952755905</v>
      </c>
    </row>
    <row r="101" spans="1:16">
      <c r="A101" s="3" t="s">
        <v>44</v>
      </c>
      <c r="B101" s="3" t="s">
        <v>45</v>
      </c>
      <c r="C101" s="4" t="s">
        <v>46</v>
      </c>
      <c r="D101" s="5" t="s">
        <v>57</v>
      </c>
      <c r="E101" s="29">
        <v>2</v>
      </c>
      <c r="F101" s="10"/>
      <c r="G101" s="10">
        <v>0.226</v>
      </c>
      <c r="H101" s="10"/>
      <c r="I101" s="10">
        <v>-77.4182389937107</v>
      </c>
      <c r="J101" s="10">
        <v>2.17663836477987</v>
      </c>
      <c r="K101" s="14">
        <v>1</v>
      </c>
      <c r="L101" s="14">
        <v>1</v>
      </c>
      <c r="M101" s="3"/>
      <c r="N101" s="3"/>
      <c r="O101" s="3"/>
      <c r="P101" s="3"/>
    </row>
    <row r="102" spans="1:16">
      <c r="A102" s="3" t="s">
        <v>44</v>
      </c>
      <c r="B102" s="7" t="s">
        <v>60</v>
      </c>
      <c r="C102" s="4" t="s">
        <v>49</v>
      </c>
      <c r="D102" s="5" t="s">
        <v>50</v>
      </c>
      <c r="E102" s="31">
        <v>2</v>
      </c>
      <c r="F102" s="10">
        <v>3.814</v>
      </c>
      <c r="G102" s="10">
        <v>0.402</v>
      </c>
      <c r="H102" s="10">
        <v>9.48756218905473</v>
      </c>
      <c r="I102" s="10">
        <v>-77.3592592592593</v>
      </c>
      <c r="J102" s="10">
        <v>6.38105925925926</v>
      </c>
      <c r="K102" s="14">
        <v>0.962962962962963</v>
      </c>
      <c r="L102" s="14">
        <v>0.962962962962963</v>
      </c>
      <c r="M102" s="10">
        <v>-75.511013986014</v>
      </c>
      <c r="N102" s="10">
        <v>7.73730769230769</v>
      </c>
      <c r="O102" s="14">
        <v>0.951048951048951</v>
      </c>
      <c r="P102" s="14">
        <v>0.951048951048951</v>
      </c>
    </row>
    <row r="103" spans="1:16">
      <c r="A103" s="3" t="s">
        <v>51</v>
      </c>
      <c r="B103" s="5" t="s">
        <v>63</v>
      </c>
      <c r="C103" s="6" t="s">
        <v>49</v>
      </c>
      <c r="D103" s="6" t="s">
        <v>61</v>
      </c>
      <c r="E103" s="31">
        <v>3</v>
      </c>
      <c r="F103" s="11">
        <v>2.23328234964609</v>
      </c>
      <c r="G103" s="11">
        <v>0.601141666666667</v>
      </c>
      <c r="H103" s="11">
        <v>3.71506830000597</v>
      </c>
      <c r="I103" s="11">
        <v>-77.3276406162985</v>
      </c>
      <c r="J103" s="11">
        <v>3.90174697187674</v>
      </c>
      <c r="K103" s="15">
        <v>0.894653796175979</v>
      </c>
      <c r="L103" s="15">
        <v>0.894653796175979</v>
      </c>
      <c r="M103" s="11">
        <v>-76.2370395085443</v>
      </c>
      <c r="N103" s="11">
        <v>4.70511812500163</v>
      </c>
      <c r="O103" s="15">
        <v>0.899082568807339</v>
      </c>
      <c r="P103" s="15">
        <v>0.899082568807339</v>
      </c>
    </row>
    <row r="104" spans="1:16">
      <c r="A104" s="3" t="s">
        <v>51</v>
      </c>
      <c r="B104" s="5" t="s">
        <v>63</v>
      </c>
      <c r="C104" s="5" t="s">
        <v>46</v>
      </c>
      <c r="D104" s="5" t="s">
        <v>53</v>
      </c>
      <c r="E104" s="29">
        <v>3</v>
      </c>
      <c r="F104" s="3"/>
      <c r="G104" s="11">
        <v>0.37075</v>
      </c>
      <c r="H104" s="11" t="s">
        <v>54</v>
      </c>
      <c r="I104" s="11">
        <v>-77.2773613193403</v>
      </c>
      <c r="J104" s="11">
        <v>6.47012040854573</v>
      </c>
      <c r="K104" s="15">
        <v>1</v>
      </c>
      <c r="L104" s="15">
        <v>1</v>
      </c>
      <c r="M104" s="3"/>
      <c r="N104" s="3"/>
      <c r="O104" s="3"/>
      <c r="P104" s="3"/>
    </row>
    <row r="105" spans="1:16">
      <c r="A105" s="3" t="s">
        <v>44</v>
      </c>
      <c r="B105" s="3" t="s">
        <v>56</v>
      </c>
      <c r="C105" s="4" t="s">
        <v>49</v>
      </c>
      <c r="D105" s="5" t="s">
        <v>61</v>
      </c>
      <c r="E105" s="29">
        <v>2</v>
      </c>
      <c r="F105" s="10">
        <v>6.099</v>
      </c>
      <c r="G105" s="10">
        <v>0.567</v>
      </c>
      <c r="H105" s="10">
        <v>10.7566137566138</v>
      </c>
      <c r="I105" s="10">
        <v>-77.2744845360825</v>
      </c>
      <c r="J105" s="10">
        <v>6.4968324742268</v>
      </c>
      <c r="K105" s="14">
        <v>0.972938144329897</v>
      </c>
      <c r="L105" s="14">
        <v>0.972938144329897</v>
      </c>
      <c r="M105" s="10">
        <v>-77.2366785714286</v>
      </c>
      <c r="N105" s="10">
        <v>6.40165</v>
      </c>
      <c r="O105" s="14">
        <v>0.978571428571428</v>
      </c>
      <c r="P105" s="14">
        <v>0.978571428571428</v>
      </c>
    </row>
    <row r="106" spans="1:16">
      <c r="A106" s="3" t="s">
        <v>44</v>
      </c>
      <c r="B106" s="7" t="s">
        <v>60</v>
      </c>
      <c r="C106" s="4" t="s">
        <v>46</v>
      </c>
      <c r="D106" s="5" t="s">
        <v>53</v>
      </c>
      <c r="E106" s="33">
        <v>2</v>
      </c>
      <c r="F106" s="10"/>
      <c r="G106" s="10">
        <v>0.226</v>
      </c>
      <c r="H106" s="10"/>
      <c r="I106" s="10">
        <v>-77.198738170347</v>
      </c>
      <c r="J106" s="10">
        <v>-0.0881703470031546</v>
      </c>
      <c r="K106" s="14">
        <v>0.977917981072555</v>
      </c>
      <c r="L106" s="14">
        <v>0.977917981072555</v>
      </c>
      <c r="M106" s="3"/>
      <c r="N106" s="3"/>
      <c r="O106" s="3"/>
      <c r="P106" s="3"/>
    </row>
    <row r="107" spans="1:16">
      <c r="A107" s="3" t="s">
        <v>51</v>
      </c>
      <c r="B107" s="5" t="s">
        <v>55</v>
      </c>
      <c r="C107" s="5" t="s">
        <v>49</v>
      </c>
      <c r="D107" s="5" t="s">
        <v>50</v>
      </c>
      <c r="E107" s="29">
        <v>2</v>
      </c>
      <c r="F107" s="11">
        <v>2.14247446298599</v>
      </c>
      <c r="G107" s="11">
        <v>0.53925</v>
      </c>
      <c r="H107" s="11">
        <v>3.97306344550022</v>
      </c>
      <c r="I107" s="11">
        <v>-77.0622605363985</v>
      </c>
      <c r="J107" s="11">
        <v>4.99082887664964</v>
      </c>
      <c r="K107" s="15">
        <v>0.849616858237548</v>
      </c>
      <c r="L107" s="15">
        <v>0.850787569178374</v>
      </c>
      <c r="M107" s="11">
        <v>-77.6957370578129</v>
      </c>
      <c r="N107" s="11">
        <v>4.71777079552256</v>
      </c>
      <c r="O107" s="15">
        <v>0.865168539325843</v>
      </c>
      <c r="P107" s="15">
        <v>0.876404494382023</v>
      </c>
    </row>
    <row r="108" spans="1:16">
      <c r="A108" s="3" t="s">
        <v>44</v>
      </c>
      <c r="B108" s="7" t="s">
        <v>60</v>
      </c>
      <c r="C108" s="4" t="s">
        <v>49</v>
      </c>
      <c r="D108" s="5" t="s">
        <v>50</v>
      </c>
      <c r="E108" s="31">
        <v>1</v>
      </c>
      <c r="F108" s="10">
        <v>2.504</v>
      </c>
      <c r="G108" s="10">
        <v>0.517</v>
      </c>
      <c r="H108" s="10">
        <v>4.84332688588008</v>
      </c>
      <c r="I108" s="10">
        <v>-77.0489510489511</v>
      </c>
      <c r="J108" s="10">
        <v>1.22888391608392</v>
      </c>
      <c r="K108" s="14">
        <v>0.755244755244755</v>
      </c>
      <c r="L108" s="14">
        <v>0.755244755244755</v>
      </c>
      <c r="M108" s="10">
        <v>-76.653018018018</v>
      </c>
      <c r="N108" s="10">
        <v>1.25615315315315</v>
      </c>
      <c r="O108" s="14">
        <v>0.765765765765766</v>
      </c>
      <c r="P108" s="14">
        <v>0.765765765765766</v>
      </c>
    </row>
    <row r="109" spans="1:16">
      <c r="A109" s="3" t="s">
        <v>51</v>
      </c>
      <c r="B109" s="5" t="s">
        <v>63</v>
      </c>
      <c r="C109" s="5" t="s">
        <v>46</v>
      </c>
      <c r="D109" s="5" t="s">
        <v>47</v>
      </c>
      <c r="E109" s="29">
        <v>2</v>
      </c>
      <c r="F109" s="11" t="s">
        <v>54</v>
      </c>
      <c r="G109" s="11">
        <v>0.384108333333333</v>
      </c>
      <c r="H109" s="11" t="s">
        <v>54</v>
      </c>
      <c r="I109" s="11">
        <v>-76.818741940106</v>
      </c>
      <c r="J109" s="11">
        <v>12.8168769701963</v>
      </c>
      <c r="K109" s="15">
        <v>0.846826192864307</v>
      </c>
      <c r="L109" s="15">
        <v>0.846826192864307</v>
      </c>
      <c r="M109" s="3"/>
      <c r="N109" s="3"/>
      <c r="O109" s="3"/>
      <c r="P109" s="3"/>
    </row>
    <row r="110" spans="1:16">
      <c r="A110" s="3" t="s">
        <v>44</v>
      </c>
      <c r="B110" s="3" t="s">
        <v>45</v>
      </c>
      <c r="C110" s="4" t="s">
        <v>49</v>
      </c>
      <c r="D110" s="5" t="s">
        <v>50</v>
      </c>
      <c r="E110" s="29">
        <v>1</v>
      </c>
      <c r="F110" s="10">
        <v>4.802</v>
      </c>
      <c r="G110" s="10">
        <v>1</v>
      </c>
      <c r="H110" s="10">
        <v>4.802</v>
      </c>
      <c r="I110" s="10">
        <v>-76.8048611111111</v>
      </c>
      <c r="J110" s="10">
        <v>7.00635625</v>
      </c>
      <c r="K110" s="14">
        <v>0.920138888888889</v>
      </c>
      <c r="L110" s="14">
        <v>0.920138888888889</v>
      </c>
      <c r="M110" s="10">
        <v>-76.3545982142857</v>
      </c>
      <c r="N110" s="10">
        <v>6.98345089285714</v>
      </c>
      <c r="O110" s="14">
        <v>0.9375</v>
      </c>
      <c r="P110" s="14">
        <v>0.9375</v>
      </c>
    </row>
    <row r="111" spans="1:16">
      <c r="A111" s="3" t="s">
        <v>44</v>
      </c>
      <c r="B111" s="3" t="s">
        <v>45</v>
      </c>
      <c r="C111" s="4" t="s">
        <v>46</v>
      </c>
      <c r="D111" s="5" t="s">
        <v>57</v>
      </c>
      <c r="E111" s="30">
        <v>2</v>
      </c>
      <c r="F111" s="10"/>
      <c r="G111" s="10">
        <v>0.226</v>
      </c>
      <c r="H111" s="10"/>
      <c r="I111" s="10">
        <v>-76.5451807228916</v>
      </c>
      <c r="J111" s="10">
        <v>9.13253915662651</v>
      </c>
      <c r="K111" s="14">
        <v>0.987951807228916</v>
      </c>
      <c r="L111" s="14">
        <v>0.987951807228916</v>
      </c>
      <c r="M111" s="3"/>
      <c r="N111" s="3"/>
      <c r="O111" s="3"/>
      <c r="P111" s="3"/>
    </row>
    <row r="112" spans="1:16">
      <c r="A112" s="3" t="s">
        <v>51</v>
      </c>
      <c r="B112" s="4" t="s">
        <v>58</v>
      </c>
      <c r="C112" s="6" t="s">
        <v>49</v>
      </c>
      <c r="D112" s="6" t="s">
        <v>50</v>
      </c>
      <c r="E112" s="31">
        <v>2</v>
      </c>
      <c r="F112" s="11">
        <v>5.35852092331648</v>
      </c>
      <c r="G112" s="11">
        <v>0.636761111111111</v>
      </c>
      <c r="H112" s="11">
        <v>8.41527667097347</v>
      </c>
      <c r="I112" s="11">
        <v>-76.371688493452</v>
      </c>
      <c r="J112" s="11">
        <v>3.43459462161352</v>
      </c>
      <c r="K112" s="15">
        <v>0.769169249225232</v>
      </c>
      <c r="L112" s="15">
        <v>0.788863340997701</v>
      </c>
      <c r="M112" s="11">
        <v>-76.4392768917919</v>
      </c>
      <c r="N112" s="11">
        <v>3.13222771992037</v>
      </c>
      <c r="O112" s="15">
        <v>0.763546798029557</v>
      </c>
      <c r="P112" s="15">
        <v>0.768472906403941</v>
      </c>
    </row>
    <row r="113" spans="1:16">
      <c r="A113" s="3" t="s">
        <v>51</v>
      </c>
      <c r="B113" s="5" t="s">
        <v>63</v>
      </c>
      <c r="C113" s="5" t="s">
        <v>46</v>
      </c>
      <c r="D113" s="5" t="s">
        <v>53</v>
      </c>
      <c r="E113" s="30">
        <v>2</v>
      </c>
      <c r="F113" s="3"/>
      <c r="G113" s="11">
        <v>0.370580555555556</v>
      </c>
      <c r="H113" s="11" t="s">
        <v>54</v>
      </c>
      <c r="I113" s="11">
        <v>-76.0754688672168</v>
      </c>
      <c r="J113" s="11">
        <v>0.991243904726182</v>
      </c>
      <c r="K113" s="15">
        <v>0.994448612153038</v>
      </c>
      <c r="L113" s="15">
        <v>0.994448612153038</v>
      </c>
      <c r="M113" s="3"/>
      <c r="N113" s="3"/>
      <c r="O113" s="3"/>
      <c r="P113" s="3"/>
    </row>
    <row r="114" spans="1:16">
      <c r="A114" s="3" t="s">
        <v>51</v>
      </c>
      <c r="B114" s="6" t="s">
        <v>52</v>
      </c>
      <c r="C114" s="6" t="s">
        <v>49</v>
      </c>
      <c r="D114" s="6" t="s">
        <v>61</v>
      </c>
      <c r="E114" s="29">
        <v>1</v>
      </c>
      <c r="F114" s="11">
        <v>2.12726338416338</v>
      </c>
      <c r="G114" s="11">
        <v>0.449697222222222</v>
      </c>
      <c r="H114" s="11">
        <v>4.7304347882144</v>
      </c>
      <c r="I114" s="11">
        <v>-75.8582340756085</v>
      </c>
      <c r="J114" s="11">
        <v>5.27646175880373</v>
      </c>
      <c r="K114" s="15">
        <v>0.948990160538581</v>
      </c>
      <c r="L114" s="15">
        <v>0.948990160538581</v>
      </c>
      <c r="M114" s="3"/>
      <c r="N114" s="3"/>
      <c r="O114" s="3"/>
      <c r="P114" s="3"/>
    </row>
    <row r="115" spans="1:16">
      <c r="A115" s="3" t="s">
        <v>44</v>
      </c>
      <c r="B115" s="7" t="s">
        <v>60</v>
      </c>
      <c r="C115" s="4" t="s">
        <v>46</v>
      </c>
      <c r="D115" s="5" t="s">
        <v>57</v>
      </c>
      <c r="E115" s="29">
        <v>1</v>
      </c>
      <c r="F115" s="10"/>
      <c r="G115" s="10">
        <v>0.226</v>
      </c>
      <c r="H115" s="10"/>
      <c r="I115" s="10">
        <v>-75.6572327044025</v>
      </c>
      <c r="J115" s="10">
        <v>6.6663962264151</v>
      </c>
      <c r="K115" s="14">
        <v>1</v>
      </c>
      <c r="L115" s="14">
        <v>1</v>
      </c>
      <c r="M115" s="3"/>
      <c r="N115" s="3"/>
      <c r="O115" s="3"/>
      <c r="P115" s="3"/>
    </row>
    <row r="116" spans="1:16">
      <c r="A116" s="3" t="s">
        <v>44</v>
      </c>
      <c r="B116" s="3" t="s">
        <v>48</v>
      </c>
      <c r="C116" s="4" t="s">
        <v>46</v>
      </c>
      <c r="D116" s="5" t="s">
        <v>53</v>
      </c>
      <c r="E116" s="31">
        <v>1</v>
      </c>
      <c r="F116" s="10"/>
      <c r="G116" s="10">
        <v>0.226</v>
      </c>
      <c r="H116" s="10"/>
      <c r="I116" s="10">
        <v>-75.1487341772152</v>
      </c>
      <c r="J116" s="10">
        <v>12.3161772151899</v>
      </c>
      <c r="K116" s="14">
        <v>1</v>
      </c>
      <c r="L116" s="14">
        <v>1</v>
      </c>
      <c r="M116" s="3"/>
      <c r="N116" s="3"/>
      <c r="O116" s="3"/>
      <c r="P116" s="3"/>
    </row>
    <row r="117" spans="1:16">
      <c r="A117" s="3" t="s">
        <v>51</v>
      </c>
      <c r="B117" s="5" t="s">
        <v>63</v>
      </c>
      <c r="C117" s="5" t="s">
        <v>46</v>
      </c>
      <c r="D117" s="5" t="s">
        <v>53</v>
      </c>
      <c r="E117" s="29">
        <v>3</v>
      </c>
      <c r="F117" s="3"/>
      <c r="G117" s="11">
        <v>0.370919444444444</v>
      </c>
      <c r="H117" s="11" t="s">
        <v>54</v>
      </c>
      <c r="I117" s="11">
        <v>-75.0820828331333</v>
      </c>
      <c r="J117" s="11">
        <v>2.11577599789916</v>
      </c>
      <c r="K117" s="15">
        <v>1</v>
      </c>
      <c r="L117" s="15">
        <v>1</v>
      </c>
      <c r="M117" s="3"/>
      <c r="N117" s="3"/>
      <c r="O117" s="3"/>
      <c r="P117" s="3"/>
    </row>
    <row r="118" spans="1:16">
      <c r="A118" s="3" t="s">
        <v>44</v>
      </c>
      <c r="B118" s="3" t="s">
        <v>45</v>
      </c>
      <c r="C118" s="4" t="s">
        <v>49</v>
      </c>
      <c r="D118" s="5" t="s">
        <v>50</v>
      </c>
      <c r="E118" s="29">
        <v>3</v>
      </c>
      <c r="F118" s="10">
        <v>4.802</v>
      </c>
      <c r="G118" s="10">
        <v>1</v>
      </c>
      <c r="H118" s="10">
        <v>4.802</v>
      </c>
      <c r="I118" s="10">
        <v>-75.0817204301075</v>
      </c>
      <c r="J118" s="10">
        <v>5.3669146953405</v>
      </c>
      <c r="K118" s="14">
        <v>0.957706093189964</v>
      </c>
      <c r="L118" s="14">
        <v>0.957706093189964</v>
      </c>
      <c r="M118" s="10">
        <v>-74.859331838565</v>
      </c>
      <c r="N118" s="10">
        <v>5.5167264573991</v>
      </c>
      <c r="O118" s="14">
        <v>0.946188340807175</v>
      </c>
      <c r="P118" s="14">
        <v>0.946188340807175</v>
      </c>
    </row>
    <row r="119" spans="1:16">
      <c r="A119" s="3" t="s">
        <v>44</v>
      </c>
      <c r="B119" s="7" t="s">
        <v>60</v>
      </c>
      <c r="C119" s="4" t="s">
        <v>49</v>
      </c>
      <c r="D119" s="5" t="s">
        <v>50</v>
      </c>
      <c r="E119" s="33">
        <v>3</v>
      </c>
      <c r="F119" s="10">
        <v>2.832</v>
      </c>
      <c r="G119" s="10">
        <v>0.587</v>
      </c>
      <c r="H119" s="10">
        <v>4.82453151618399</v>
      </c>
      <c r="I119" s="10">
        <v>-74.8372093023256</v>
      </c>
      <c r="J119" s="10">
        <v>8.03275887392901</v>
      </c>
      <c r="K119" s="14">
        <v>0.966952264381885</v>
      </c>
      <c r="L119" s="14">
        <v>0.966952264381885</v>
      </c>
      <c r="M119" s="10">
        <v>-75.171</v>
      </c>
      <c r="N119" s="10">
        <v>7.89868702290076</v>
      </c>
      <c r="O119" s="14">
        <v>0.969465648854962</v>
      </c>
      <c r="P119" s="14">
        <v>0.969465648854962</v>
      </c>
    </row>
    <row r="120" spans="1:16">
      <c r="A120" s="3" t="s">
        <v>51</v>
      </c>
      <c r="B120" s="5" t="s">
        <v>55</v>
      </c>
      <c r="C120" s="5" t="s">
        <v>46</v>
      </c>
      <c r="D120" s="5" t="s">
        <v>57</v>
      </c>
      <c r="E120" s="30">
        <v>1</v>
      </c>
      <c r="F120" s="11" t="s">
        <v>54</v>
      </c>
      <c r="G120" s="11">
        <v>0.376136111111111</v>
      </c>
      <c r="H120" s="11" t="s">
        <v>54</v>
      </c>
      <c r="I120" s="11">
        <v>-74.7882996011228</v>
      </c>
      <c r="J120" s="11">
        <v>9.23274994460038</v>
      </c>
      <c r="K120" s="15">
        <v>0.981237996749889</v>
      </c>
      <c r="L120" s="15">
        <v>0.981237996749889</v>
      </c>
      <c r="M120" s="11" t="s">
        <v>54</v>
      </c>
      <c r="N120" s="11" t="s">
        <v>54</v>
      </c>
      <c r="O120" s="15" t="s">
        <v>54</v>
      </c>
      <c r="P120" s="15" t="s">
        <v>54</v>
      </c>
    </row>
    <row r="121" spans="1:16">
      <c r="A121" s="3" t="s">
        <v>51</v>
      </c>
      <c r="B121" s="4" t="s">
        <v>58</v>
      </c>
      <c r="C121" s="5" t="s">
        <v>46</v>
      </c>
      <c r="D121" s="6" t="s">
        <v>53</v>
      </c>
      <c r="E121" s="40">
        <v>3</v>
      </c>
      <c r="F121" s="11" t="s">
        <v>54</v>
      </c>
      <c r="G121" s="11">
        <v>0.393916666666667</v>
      </c>
      <c r="H121" s="11" t="s">
        <v>54</v>
      </c>
      <c r="I121" s="11">
        <v>-74.737012987013</v>
      </c>
      <c r="J121" s="11">
        <v>3.76487727625635</v>
      </c>
      <c r="K121" s="15">
        <v>0.99802371541502</v>
      </c>
      <c r="L121" s="15">
        <v>0.99802371541502</v>
      </c>
      <c r="M121" s="3"/>
      <c r="N121" s="3"/>
      <c r="O121" s="3"/>
      <c r="P121" s="3"/>
    </row>
    <row r="122" spans="1:16">
      <c r="A122" s="3" t="s">
        <v>44</v>
      </c>
      <c r="B122" s="3" t="s">
        <v>59</v>
      </c>
      <c r="C122" s="4" t="s">
        <v>46</v>
      </c>
      <c r="D122" s="5" t="s">
        <v>47</v>
      </c>
      <c r="E122" s="29">
        <v>3</v>
      </c>
      <c r="F122" s="10"/>
      <c r="G122" s="10">
        <v>0.226</v>
      </c>
      <c r="H122" s="10"/>
      <c r="I122" s="10">
        <v>-74.7138364779874</v>
      </c>
      <c r="J122" s="10">
        <v>7.84067295597484</v>
      </c>
      <c r="K122" s="14">
        <v>1</v>
      </c>
      <c r="L122" s="14">
        <v>1</v>
      </c>
      <c r="M122" s="3"/>
      <c r="N122" s="3"/>
      <c r="O122" s="3"/>
      <c r="P122" s="3"/>
    </row>
    <row r="123" spans="1:16">
      <c r="A123" s="3" t="s">
        <v>44</v>
      </c>
      <c r="B123" s="3" t="s">
        <v>59</v>
      </c>
      <c r="C123" s="4" t="s">
        <v>49</v>
      </c>
      <c r="D123" s="5" t="s">
        <v>50</v>
      </c>
      <c r="E123" s="29">
        <v>2</v>
      </c>
      <c r="F123" s="10">
        <v>2.708</v>
      </c>
      <c r="G123" s="10">
        <v>0.691</v>
      </c>
      <c r="H123" s="10">
        <v>3.91895803183792</v>
      </c>
      <c r="I123" s="10">
        <v>-74.5167206040992</v>
      </c>
      <c r="J123" s="10">
        <v>3.8748306364617</v>
      </c>
      <c r="K123" s="14">
        <v>0.866235167206041</v>
      </c>
      <c r="L123" s="14">
        <v>0.866235167206041</v>
      </c>
      <c r="M123" s="10">
        <v>-73.8787165354331</v>
      </c>
      <c r="N123" s="10">
        <v>3.97577165354331</v>
      </c>
      <c r="O123" s="14">
        <v>0.858267716535433</v>
      </c>
      <c r="P123" s="14">
        <v>0.858267716535433</v>
      </c>
    </row>
    <row r="124" spans="1:16">
      <c r="A124" s="3" t="s">
        <v>44</v>
      </c>
      <c r="B124" s="7" t="s">
        <v>60</v>
      </c>
      <c r="C124" s="4" t="s">
        <v>46</v>
      </c>
      <c r="D124" s="5" t="s">
        <v>57</v>
      </c>
      <c r="E124" s="31">
        <v>1</v>
      </c>
      <c r="F124" s="10"/>
      <c r="G124" s="10">
        <v>0.226</v>
      </c>
      <c r="H124" s="10"/>
      <c r="I124" s="10">
        <v>-74.475</v>
      </c>
      <c r="J124" s="10">
        <v>3.9264</v>
      </c>
      <c r="K124" s="14">
        <v>1</v>
      </c>
      <c r="L124" s="14">
        <v>1</v>
      </c>
      <c r="M124" s="3"/>
      <c r="N124" s="3"/>
      <c r="O124" s="3"/>
      <c r="P124" s="3"/>
    </row>
    <row r="125" spans="1:16">
      <c r="A125" s="3" t="s">
        <v>51</v>
      </c>
      <c r="B125" s="4" t="s">
        <v>62</v>
      </c>
      <c r="C125" s="4" t="s">
        <v>49</v>
      </c>
      <c r="D125" s="4" t="s">
        <v>50</v>
      </c>
      <c r="E125" s="29">
        <v>2</v>
      </c>
      <c r="F125" s="11">
        <v>2.17412685996294</v>
      </c>
      <c r="G125" s="11">
        <v>0.504916666666667</v>
      </c>
      <c r="H125" s="11">
        <f>IFERROR(F125/G125,"")</f>
        <v>4.30591224947273</v>
      </c>
      <c r="I125" s="11">
        <v>-74.4462476854373</v>
      </c>
      <c r="J125" s="11">
        <v>8.09691039919399</v>
      </c>
      <c r="K125" s="15">
        <v>0.933776277093998</v>
      </c>
      <c r="L125" s="15">
        <v>0.935083324256617</v>
      </c>
      <c r="M125" s="11">
        <v>-73.6752595797507</v>
      </c>
      <c r="N125" s="11">
        <v>8.64020101136129</v>
      </c>
      <c r="O125" s="15">
        <v>0.98936170212766</v>
      </c>
      <c r="P125" s="15">
        <v>0.98936170212766</v>
      </c>
    </row>
    <row r="126" spans="1:16">
      <c r="A126" s="3" t="s">
        <v>44</v>
      </c>
      <c r="B126" s="3" t="s">
        <v>45</v>
      </c>
      <c r="C126" s="4" t="s">
        <v>46</v>
      </c>
      <c r="D126" s="5" t="s">
        <v>57</v>
      </c>
      <c r="E126" s="29">
        <v>2</v>
      </c>
      <c r="F126" s="10"/>
      <c r="G126" s="10">
        <v>0.226</v>
      </c>
      <c r="H126" s="10"/>
      <c r="I126" s="10">
        <v>-74.3820598006645</v>
      </c>
      <c r="J126" s="10">
        <v>10.1248936877076</v>
      </c>
      <c r="K126" s="14">
        <v>0.970099667774086</v>
      </c>
      <c r="L126" s="14">
        <v>0.970099667774086</v>
      </c>
      <c r="M126" s="3"/>
      <c r="N126" s="3"/>
      <c r="O126" s="3"/>
      <c r="P126" s="3"/>
    </row>
    <row r="127" spans="1:16">
      <c r="A127" s="3" t="s">
        <v>44</v>
      </c>
      <c r="B127" s="7" t="s">
        <v>60</v>
      </c>
      <c r="C127" s="4" t="s">
        <v>49</v>
      </c>
      <c r="D127" s="5" t="s">
        <v>50</v>
      </c>
      <c r="E127" s="29">
        <v>2</v>
      </c>
      <c r="F127" s="10">
        <v>6.052</v>
      </c>
      <c r="G127" s="10">
        <v>0.637</v>
      </c>
      <c r="H127" s="10">
        <v>9.50078492935636</v>
      </c>
      <c r="I127" s="10">
        <v>-74.3813559322034</v>
      </c>
      <c r="J127" s="10">
        <v>8.49201694915254</v>
      </c>
      <c r="K127" s="14">
        <v>0.928571428571429</v>
      </c>
      <c r="L127" s="14">
        <v>0.928571428571429</v>
      </c>
      <c r="M127" s="10">
        <v>-75.2946718146718</v>
      </c>
      <c r="N127" s="10">
        <v>7.57354054054054</v>
      </c>
      <c r="O127" s="14">
        <v>0.868725868725869</v>
      </c>
      <c r="P127" s="14">
        <v>0.868725868725869</v>
      </c>
    </row>
    <row r="128" spans="1:16">
      <c r="A128" s="3" t="s">
        <v>44</v>
      </c>
      <c r="B128" s="3" t="s">
        <v>59</v>
      </c>
      <c r="C128" s="4" t="s">
        <v>46</v>
      </c>
      <c r="D128" s="5" t="s">
        <v>53</v>
      </c>
      <c r="E128" s="29">
        <v>3</v>
      </c>
      <c r="F128" s="10"/>
      <c r="G128" s="10">
        <v>0.226</v>
      </c>
      <c r="H128" s="10"/>
      <c r="I128" s="10">
        <v>-73.9179810725552</v>
      </c>
      <c r="J128" s="10">
        <v>8.04004416403786</v>
      </c>
      <c r="K128" s="14">
        <v>1</v>
      </c>
      <c r="L128" s="14">
        <v>1</v>
      </c>
      <c r="M128" s="3"/>
      <c r="N128" s="3"/>
      <c r="O128" s="3"/>
      <c r="P128" s="3"/>
    </row>
    <row r="129" spans="1:16">
      <c r="A129" s="3" t="s">
        <v>44</v>
      </c>
      <c r="B129" s="3" t="s">
        <v>45</v>
      </c>
      <c r="C129" s="4" t="s">
        <v>49</v>
      </c>
      <c r="D129" s="5" t="s">
        <v>50</v>
      </c>
      <c r="E129" s="29">
        <v>1</v>
      </c>
      <c r="F129" s="10">
        <v>0.965</v>
      </c>
      <c r="G129" s="10">
        <v>0.215</v>
      </c>
      <c r="H129" s="10">
        <v>4.48837209302326</v>
      </c>
      <c r="I129" s="10">
        <v>-73.8211920529801</v>
      </c>
      <c r="J129" s="10">
        <v>4.08002317880795</v>
      </c>
      <c r="K129" s="14">
        <v>0.996688741721854</v>
      </c>
      <c r="L129" s="14">
        <v>0.996688741721854</v>
      </c>
      <c r="M129" s="10">
        <v>-73.7453958333333</v>
      </c>
      <c r="N129" s="10">
        <v>4.2685625</v>
      </c>
      <c r="O129" s="14">
        <v>1</v>
      </c>
      <c r="P129" s="14">
        <v>1</v>
      </c>
    </row>
    <row r="130" spans="1:16">
      <c r="A130" s="3" t="s">
        <v>44</v>
      </c>
      <c r="B130" s="3" t="s">
        <v>59</v>
      </c>
      <c r="C130" s="4" t="s">
        <v>49</v>
      </c>
      <c r="D130" s="5" t="s">
        <v>50</v>
      </c>
      <c r="E130" s="31">
        <v>2</v>
      </c>
      <c r="F130" s="10">
        <v>2.418</v>
      </c>
      <c r="G130" s="10">
        <v>0.623</v>
      </c>
      <c r="H130" s="10">
        <v>3.88121990369181</v>
      </c>
      <c r="I130" s="10">
        <v>-73.732246798603</v>
      </c>
      <c r="J130" s="10">
        <v>8.56373690337602</v>
      </c>
      <c r="K130" s="14">
        <v>0.981373690337602</v>
      </c>
      <c r="L130" s="14">
        <v>0.981373690337602</v>
      </c>
      <c r="M130" s="10">
        <v>-75.0202831858407</v>
      </c>
      <c r="N130" s="10">
        <v>7.74946902654867</v>
      </c>
      <c r="O130" s="14">
        <v>0.973451327433628</v>
      </c>
      <c r="P130" s="14">
        <v>0.973451327433628</v>
      </c>
    </row>
    <row r="131" spans="1:16">
      <c r="A131" s="3" t="s">
        <v>51</v>
      </c>
      <c r="B131" s="4" t="s">
        <v>62</v>
      </c>
      <c r="C131" s="4" t="s">
        <v>46</v>
      </c>
      <c r="D131" s="4" t="s">
        <v>57</v>
      </c>
      <c r="E131" s="29">
        <v>2</v>
      </c>
      <c r="F131" s="11" t="s">
        <v>54</v>
      </c>
      <c r="G131" s="11">
        <v>0.37475</v>
      </c>
      <c r="H131" s="11" t="s">
        <v>54</v>
      </c>
      <c r="I131" s="11">
        <v>-73.7281740159811</v>
      </c>
      <c r="J131" s="11">
        <v>12.2530241935484</v>
      </c>
      <c r="K131" s="15">
        <v>0.956348031962119</v>
      </c>
      <c r="L131" s="15">
        <v>0.956348031962119</v>
      </c>
      <c r="M131" s="11" t="s">
        <v>54</v>
      </c>
      <c r="N131" s="11" t="s">
        <v>54</v>
      </c>
      <c r="O131" s="15" t="s">
        <v>54</v>
      </c>
      <c r="P131" s="15" t="s">
        <v>54</v>
      </c>
    </row>
    <row r="132" spans="1:16">
      <c r="A132" s="3" t="s">
        <v>44</v>
      </c>
      <c r="B132" s="3" t="s">
        <v>56</v>
      </c>
      <c r="C132" s="4" t="s">
        <v>49</v>
      </c>
      <c r="D132" s="5" t="s">
        <v>50</v>
      </c>
      <c r="E132" s="29">
        <v>2</v>
      </c>
      <c r="F132" s="10">
        <v>5.621</v>
      </c>
      <c r="G132" s="10">
        <v>0.578</v>
      </c>
      <c r="H132" s="10">
        <v>9.72491349480969</v>
      </c>
      <c r="I132" s="10">
        <v>-73.4346153846154</v>
      </c>
      <c r="J132" s="10">
        <v>11.8697076923077</v>
      </c>
      <c r="K132" s="14">
        <v>0.998717948717949</v>
      </c>
      <c r="L132" s="14">
        <v>0.998717948717949</v>
      </c>
      <c r="M132" s="10">
        <v>-74.5451882352941</v>
      </c>
      <c r="N132" s="10">
        <v>11.7007921568627</v>
      </c>
      <c r="O132" s="14">
        <v>0.996078431372549</v>
      </c>
      <c r="P132" s="14">
        <v>0.996078431372549</v>
      </c>
    </row>
    <row r="133" spans="1:16">
      <c r="A133" s="3" t="s">
        <v>44</v>
      </c>
      <c r="B133" s="3" t="s">
        <v>59</v>
      </c>
      <c r="C133" s="4" t="s">
        <v>49</v>
      </c>
      <c r="D133" s="5" t="s">
        <v>50</v>
      </c>
      <c r="E133" s="31">
        <v>2</v>
      </c>
      <c r="F133" s="10">
        <v>2.708</v>
      </c>
      <c r="G133" s="10">
        <v>0.691</v>
      </c>
      <c r="H133" s="10">
        <v>3.91895803183792</v>
      </c>
      <c r="I133" s="10">
        <v>-73.0849539406346</v>
      </c>
      <c r="J133" s="10">
        <v>6.11127635619243</v>
      </c>
      <c r="K133" s="14">
        <v>0.943705220061412</v>
      </c>
      <c r="L133" s="14">
        <v>0.943705220061412</v>
      </c>
      <c r="M133" s="10">
        <v>-72.29128125</v>
      </c>
      <c r="N133" s="10">
        <v>6.4413203125</v>
      </c>
      <c r="O133" s="14">
        <v>0.953125</v>
      </c>
      <c r="P133" s="14">
        <v>0.953125</v>
      </c>
    </row>
    <row r="134" spans="1:16">
      <c r="A134" s="3" t="s">
        <v>51</v>
      </c>
      <c r="B134" s="4" t="s">
        <v>62</v>
      </c>
      <c r="C134" s="4" t="s">
        <v>49</v>
      </c>
      <c r="D134" s="4" t="s">
        <v>50</v>
      </c>
      <c r="E134" s="29">
        <v>2</v>
      </c>
      <c r="F134" s="11">
        <v>2.2018492013216</v>
      </c>
      <c r="G134" s="12">
        <v>0.457469444444444</v>
      </c>
      <c r="H134" s="11">
        <f>IFERROR(F134/G134,"")</f>
        <v>4.81310659774349</v>
      </c>
      <c r="I134" s="11">
        <v>-73.0477996965099</v>
      </c>
      <c r="J134" s="11">
        <v>9.16704207764289</v>
      </c>
      <c r="K134" s="15">
        <v>0.926909458775923</v>
      </c>
      <c r="L134" s="15">
        <v>0.926909458775923</v>
      </c>
      <c r="M134" s="11">
        <v>-73.1668249046812</v>
      </c>
      <c r="N134" s="11">
        <v>9.16759124869698</v>
      </c>
      <c r="O134" s="15">
        <v>0.917431192660551</v>
      </c>
      <c r="P134" s="15">
        <v>0.954128440366973</v>
      </c>
    </row>
    <row r="135" spans="1:16">
      <c r="A135" s="3" t="s">
        <v>44</v>
      </c>
      <c r="B135" s="3" t="s">
        <v>45</v>
      </c>
      <c r="C135" s="4" t="s">
        <v>49</v>
      </c>
      <c r="D135" s="5" t="s">
        <v>50</v>
      </c>
      <c r="E135" s="29">
        <v>2</v>
      </c>
      <c r="F135" s="10">
        <v>2.577</v>
      </c>
      <c r="G135" s="10">
        <v>0.546</v>
      </c>
      <c r="H135" s="10">
        <v>4.71978021978022</v>
      </c>
      <c r="I135" s="10">
        <v>-73.0104031209363</v>
      </c>
      <c r="J135" s="10">
        <v>8.20936540962289</v>
      </c>
      <c r="K135" s="14">
        <v>0.957087126137841</v>
      </c>
      <c r="L135" s="14">
        <v>0.957087126137841</v>
      </c>
      <c r="M135" s="10">
        <v>-71.8754224137931</v>
      </c>
      <c r="N135" s="10">
        <v>9.13822413793103</v>
      </c>
      <c r="O135" s="14">
        <v>0.982758620689655</v>
      </c>
      <c r="P135" s="14">
        <v>0.982758620689655</v>
      </c>
    </row>
    <row r="136" spans="1:16">
      <c r="A136" s="3" t="s">
        <v>44</v>
      </c>
      <c r="B136" s="3" t="s">
        <v>45</v>
      </c>
      <c r="C136" s="4" t="s">
        <v>49</v>
      </c>
      <c r="D136" s="5" t="s">
        <v>50</v>
      </c>
      <c r="E136" s="31">
        <v>1</v>
      </c>
      <c r="F136" s="10">
        <v>2.794</v>
      </c>
      <c r="G136" s="10">
        <v>0.965</v>
      </c>
      <c r="H136" s="10">
        <v>2.89533678756477</v>
      </c>
      <c r="I136" s="10">
        <v>-72.9525244913338</v>
      </c>
      <c r="J136" s="10">
        <v>6.33965561416729</v>
      </c>
      <c r="K136" s="14">
        <v>0.966088922381311</v>
      </c>
      <c r="L136" s="14">
        <v>0.966088922381311</v>
      </c>
      <c r="M136" s="10">
        <v>-72.4978360655738</v>
      </c>
      <c r="N136" s="10">
        <v>6.59096721311475</v>
      </c>
      <c r="O136" s="14">
        <v>0.983606557377049</v>
      </c>
      <c r="P136" s="14">
        <v>0.983606557377049</v>
      </c>
    </row>
    <row r="137" spans="1:16">
      <c r="A137" s="3" t="s">
        <v>51</v>
      </c>
      <c r="B137" s="4" t="s">
        <v>62</v>
      </c>
      <c r="C137" s="4" t="s">
        <v>46</v>
      </c>
      <c r="D137" s="4" t="s">
        <v>57</v>
      </c>
      <c r="E137" s="29">
        <v>2</v>
      </c>
      <c r="F137" s="11" t="s">
        <v>54</v>
      </c>
      <c r="G137" s="11">
        <v>0.375102777777778</v>
      </c>
      <c r="H137" s="11" t="s">
        <v>54</v>
      </c>
      <c r="I137" s="11">
        <v>-72.9270787016452</v>
      </c>
      <c r="J137" s="11">
        <v>3.93824338594931</v>
      </c>
      <c r="K137" s="15">
        <v>0.988291092337335</v>
      </c>
      <c r="L137" s="15">
        <v>0.990366088631985</v>
      </c>
      <c r="M137" s="11" t="s">
        <v>54</v>
      </c>
      <c r="N137" s="11" t="s">
        <v>54</v>
      </c>
      <c r="O137" s="15" t="s">
        <v>54</v>
      </c>
      <c r="P137" s="15" t="s">
        <v>54</v>
      </c>
    </row>
    <row r="138" spans="1:16">
      <c r="A138" s="3" t="s">
        <v>44</v>
      </c>
      <c r="B138" s="3" t="s">
        <v>59</v>
      </c>
      <c r="C138" s="4" t="s">
        <v>46</v>
      </c>
      <c r="D138" s="5" t="s">
        <v>57</v>
      </c>
      <c r="E138" s="29">
        <v>2</v>
      </c>
      <c r="F138" s="10"/>
      <c r="G138" s="10">
        <v>0.226</v>
      </c>
      <c r="H138" s="10"/>
      <c r="I138" s="10">
        <v>-72.609756097561</v>
      </c>
      <c r="J138" s="10">
        <v>10.1321829268293</v>
      </c>
      <c r="K138" s="14">
        <v>0.947154471544715</v>
      </c>
      <c r="L138" s="14">
        <v>0.947154471544715</v>
      </c>
      <c r="M138" s="3"/>
      <c r="N138" s="3"/>
      <c r="O138" s="3"/>
      <c r="P138" s="3"/>
    </row>
    <row r="139" spans="1:16">
      <c r="A139" s="3" t="s">
        <v>44</v>
      </c>
      <c r="B139" s="3" t="s">
        <v>45</v>
      </c>
      <c r="C139" s="4" t="s">
        <v>46</v>
      </c>
      <c r="D139" s="5" t="s">
        <v>53</v>
      </c>
      <c r="E139" s="29">
        <v>2</v>
      </c>
      <c r="F139" s="10"/>
      <c r="G139" s="10">
        <v>0.226</v>
      </c>
      <c r="H139" s="10"/>
      <c r="I139" s="10">
        <v>-72.4182389937107</v>
      </c>
      <c r="J139" s="10">
        <v>10.4652610062893</v>
      </c>
      <c r="K139" s="14">
        <v>1</v>
      </c>
      <c r="L139" s="14">
        <v>1</v>
      </c>
      <c r="M139" s="3"/>
      <c r="N139" s="3"/>
      <c r="O139" s="3"/>
      <c r="P139" s="3"/>
    </row>
    <row r="140" spans="1:16">
      <c r="A140" s="3" t="s">
        <v>44</v>
      </c>
      <c r="B140" s="3" t="s">
        <v>48</v>
      </c>
      <c r="C140" s="4" t="s">
        <v>49</v>
      </c>
      <c r="D140" s="5" t="s">
        <v>50</v>
      </c>
      <c r="E140" s="29">
        <v>3</v>
      </c>
      <c r="F140" s="10">
        <v>3.658</v>
      </c>
      <c r="G140" s="10">
        <v>1</v>
      </c>
      <c r="H140" s="10">
        <v>3.658</v>
      </c>
      <c r="I140" s="10">
        <v>-72.3143063583815</v>
      </c>
      <c r="J140" s="10">
        <v>5.98704046242775</v>
      </c>
      <c r="K140" s="14">
        <v>0.941473988439306</v>
      </c>
      <c r="L140" s="14">
        <v>0.941473988439306</v>
      </c>
      <c r="M140" s="10">
        <v>-74.2711830985915</v>
      </c>
      <c r="N140" s="10">
        <v>4.36302112676056</v>
      </c>
      <c r="O140" s="14">
        <v>0.943661971830986</v>
      </c>
      <c r="P140" s="14">
        <v>0.943661971830986</v>
      </c>
    </row>
    <row r="141" spans="1:16">
      <c r="A141" s="3" t="s">
        <v>44</v>
      </c>
      <c r="B141" s="3" t="s">
        <v>59</v>
      </c>
      <c r="C141" s="4" t="s">
        <v>46</v>
      </c>
      <c r="D141" s="5" t="s">
        <v>53</v>
      </c>
      <c r="E141" s="29">
        <v>1</v>
      </c>
      <c r="F141" s="10"/>
      <c r="G141" s="10">
        <v>0.226</v>
      </c>
      <c r="H141" s="10"/>
      <c r="I141" s="10">
        <v>-72.2169811320755</v>
      </c>
      <c r="J141" s="10">
        <v>7.02790251572327</v>
      </c>
      <c r="K141" s="14">
        <v>1</v>
      </c>
      <c r="L141" s="14">
        <v>1</v>
      </c>
      <c r="M141" s="3"/>
      <c r="N141" s="3"/>
      <c r="O141" s="3"/>
      <c r="P141" s="3"/>
    </row>
    <row r="142" spans="1:16">
      <c r="A142" s="3" t="s">
        <v>44</v>
      </c>
      <c r="B142" s="7" t="s">
        <v>60</v>
      </c>
      <c r="C142" s="4" t="s">
        <v>49</v>
      </c>
      <c r="D142" s="5" t="s">
        <v>50</v>
      </c>
      <c r="E142" s="29">
        <v>3</v>
      </c>
      <c r="F142" s="10">
        <v>2.504</v>
      </c>
      <c r="G142" s="10">
        <v>0.517</v>
      </c>
      <c r="H142" s="10">
        <v>4.84332688588008</v>
      </c>
      <c r="I142" s="10">
        <v>-71.8843441466855</v>
      </c>
      <c r="J142" s="10">
        <v>7.58239774330042</v>
      </c>
      <c r="K142" s="14">
        <v>0.967559943582511</v>
      </c>
      <c r="L142" s="14">
        <v>0.967559943582511</v>
      </c>
      <c r="M142" s="10">
        <v>-72.4621363636364</v>
      </c>
      <c r="N142" s="10">
        <v>7.18372727272727</v>
      </c>
      <c r="O142" s="14">
        <v>0.963636363636364</v>
      </c>
      <c r="P142" s="14">
        <v>0.963636363636364</v>
      </c>
    </row>
    <row r="143" spans="1:16">
      <c r="A143" s="3" t="s">
        <v>44</v>
      </c>
      <c r="B143" s="3" t="s">
        <v>56</v>
      </c>
      <c r="C143" s="4" t="s">
        <v>49</v>
      </c>
      <c r="D143" s="5" t="s">
        <v>50</v>
      </c>
      <c r="E143" s="29">
        <v>1</v>
      </c>
      <c r="F143" s="10">
        <v>5.621</v>
      </c>
      <c r="G143" s="10">
        <v>0.578</v>
      </c>
      <c r="H143" s="10">
        <v>9.72491349480969</v>
      </c>
      <c r="I143" s="10">
        <v>-71.7919293820933</v>
      </c>
      <c r="J143" s="10">
        <v>4.80647162673392</v>
      </c>
      <c r="K143" s="14">
        <v>0.906683480453972</v>
      </c>
      <c r="L143" s="14">
        <v>0.906683480453972</v>
      </c>
      <c r="M143" s="10">
        <v>-70.0677403100775</v>
      </c>
      <c r="N143" s="10">
        <v>5.57840310077519</v>
      </c>
      <c r="O143" s="14">
        <v>0.895348837209302</v>
      </c>
      <c r="P143" s="14">
        <v>0.895348837209302</v>
      </c>
    </row>
    <row r="144" spans="1:16">
      <c r="A144" s="3" t="s">
        <v>44</v>
      </c>
      <c r="B144" s="3" t="s">
        <v>59</v>
      </c>
      <c r="C144" s="4" t="s">
        <v>46</v>
      </c>
      <c r="D144" s="5" t="s">
        <v>47</v>
      </c>
      <c r="E144" s="29">
        <v>2</v>
      </c>
      <c r="F144" s="10"/>
      <c r="G144" s="10">
        <v>0.226</v>
      </c>
      <c r="H144" s="10"/>
      <c r="I144" s="10">
        <v>-71.3081761006289</v>
      </c>
      <c r="J144" s="10">
        <v>2.5925786163522</v>
      </c>
      <c r="K144" s="14">
        <v>1</v>
      </c>
      <c r="L144" s="14">
        <v>1</v>
      </c>
      <c r="M144" s="3"/>
      <c r="N144" s="3"/>
      <c r="O144" s="3"/>
      <c r="P144" s="3"/>
    </row>
    <row r="145" spans="1:16">
      <c r="A145" s="3" t="s">
        <v>44</v>
      </c>
      <c r="B145" s="7" t="s">
        <v>60</v>
      </c>
      <c r="C145" s="4" t="s">
        <v>49</v>
      </c>
      <c r="D145" s="5" t="s">
        <v>50</v>
      </c>
      <c r="E145" s="31">
        <v>1</v>
      </c>
      <c r="F145" s="10">
        <v>2.245</v>
      </c>
      <c r="G145" s="10">
        <v>0.262</v>
      </c>
      <c r="H145" s="10">
        <v>8.56870229007634</v>
      </c>
      <c r="I145" s="10">
        <v>-70.7612359550562</v>
      </c>
      <c r="J145" s="10">
        <v>7.25512359550562</v>
      </c>
      <c r="K145" s="14">
        <v>0.98314606741573</v>
      </c>
      <c r="L145" s="14">
        <v>0.98314606741573</v>
      </c>
      <c r="M145" s="10">
        <v>-74.2979417475728</v>
      </c>
      <c r="N145" s="10">
        <v>4.83566990291262</v>
      </c>
      <c r="O145" s="14">
        <v>0.951456310679612</v>
      </c>
      <c r="P145" s="14">
        <v>0.951456310679612</v>
      </c>
    </row>
    <row r="146" spans="1:16">
      <c r="A146" s="3" t="s">
        <v>51</v>
      </c>
      <c r="B146" s="5" t="s">
        <v>55</v>
      </c>
      <c r="C146" s="5" t="s">
        <v>46</v>
      </c>
      <c r="D146" s="5" t="s">
        <v>53</v>
      </c>
      <c r="E146" s="29">
        <v>1</v>
      </c>
      <c r="F146" s="11" t="s">
        <v>54</v>
      </c>
      <c r="G146" s="11">
        <v>0.384861111111111</v>
      </c>
      <c r="H146" s="11" t="s">
        <v>54</v>
      </c>
      <c r="I146" s="11">
        <v>-70.6264259927798</v>
      </c>
      <c r="J146" s="11">
        <v>11.9686371841155</v>
      </c>
      <c r="K146" s="15">
        <v>1</v>
      </c>
      <c r="L146" s="15">
        <v>1</v>
      </c>
      <c r="M146" s="11" t="s">
        <v>54</v>
      </c>
      <c r="N146" s="11" t="s">
        <v>54</v>
      </c>
      <c r="O146" s="15" t="s">
        <v>54</v>
      </c>
      <c r="P146" s="15" t="s">
        <v>54</v>
      </c>
    </row>
    <row r="147" spans="1:16">
      <c r="A147" s="3" t="s">
        <v>44</v>
      </c>
      <c r="B147" s="3" t="s">
        <v>56</v>
      </c>
      <c r="C147" s="4" t="s">
        <v>46</v>
      </c>
      <c r="D147" s="5" t="s">
        <v>53</v>
      </c>
      <c r="E147" s="31">
        <v>1</v>
      </c>
      <c r="F147" s="10"/>
      <c r="G147" s="10">
        <v>0.226</v>
      </c>
      <c r="H147" s="10"/>
      <c r="I147" s="10">
        <v>-70.3091482649842</v>
      </c>
      <c r="J147" s="10">
        <v>10.1185552050473</v>
      </c>
      <c r="K147" s="14">
        <v>1</v>
      </c>
      <c r="L147" s="14">
        <v>1</v>
      </c>
      <c r="M147" s="3"/>
      <c r="N147" s="3"/>
      <c r="O147" s="3"/>
      <c r="P147" s="3"/>
    </row>
    <row r="148" spans="1:16">
      <c r="A148" s="3" t="s">
        <v>51</v>
      </c>
      <c r="B148" s="5" t="s">
        <v>55</v>
      </c>
      <c r="C148" s="5" t="s">
        <v>46</v>
      </c>
      <c r="D148" s="5" t="s">
        <v>57</v>
      </c>
      <c r="E148" s="29">
        <v>3</v>
      </c>
      <c r="F148" s="11" t="s">
        <v>54</v>
      </c>
      <c r="G148" s="11">
        <v>0.376305555555556</v>
      </c>
      <c r="H148" s="11" t="s">
        <v>54</v>
      </c>
      <c r="I148" s="11">
        <v>-70.2862629246677</v>
      </c>
      <c r="J148" s="11">
        <v>10.6999169128508</v>
      </c>
      <c r="K148" s="15">
        <v>1</v>
      </c>
      <c r="L148" s="15">
        <v>1</v>
      </c>
      <c r="M148" s="11" t="s">
        <v>54</v>
      </c>
      <c r="N148" s="11" t="s">
        <v>54</v>
      </c>
      <c r="O148" s="15" t="s">
        <v>54</v>
      </c>
      <c r="P148" s="15" t="s">
        <v>54</v>
      </c>
    </row>
    <row r="149" spans="1:16">
      <c r="A149" s="3" t="s">
        <v>44</v>
      </c>
      <c r="B149" s="3" t="s">
        <v>56</v>
      </c>
      <c r="C149" s="4" t="s">
        <v>49</v>
      </c>
      <c r="D149" s="5" t="s">
        <v>61</v>
      </c>
      <c r="E149" s="30">
        <v>2</v>
      </c>
      <c r="F149" s="10">
        <v>2.859</v>
      </c>
      <c r="G149" s="10">
        <v>0.645</v>
      </c>
      <c r="H149" s="10">
        <v>4.43255813953488</v>
      </c>
      <c r="I149" s="10">
        <v>-70.1173708920188</v>
      </c>
      <c r="J149" s="10">
        <v>8.31284976525822</v>
      </c>
      <c r="K149" s="14">
        <v>0.990610328638498</v>
      </c>
      <c r="L149" s="14">
        <v>0.990610328638498</v>
      </c>
      <c r="M149" s="10">
        <v>-69.3979745762712</v>
      </c>
      <c r="N149" s="10">
        <v>8.33931355932203</v>
      </c>
      <c r="O149" s="14">
        <v>1</v>
      </c>
      <c r="P149" s="14">
        <v>1</v>
      </c>
    </row>
    <row r="150" spans="1:16">
      <c r="A150" s="3" t="s">
        <v>51</v>
      </c>
      <c r="B150" s="6" t="s">
        <v>52</v>
      </c>
      <c r="C150" s="6" t="s">
        <v>49</v>
      </c>
      <c r="D150" s="5" t="s">
        <v>50</v>
      </c>
      <c r="E150" s="33">
        <v>2</v>
      </c>
      <c r="F150" s="11">
        <v>5.61482901751995</v>
      </c>
      <c r="G150" s="11">
        <v>0.418752777777778</v>
      </c>
      <c r="H150" s="11">
        <v>13.4084579625156</v>
      </c>
      <c r="I150" s="11">
        <v>-70.077091306725</v>
      </c>
      <c r="J150" s="11">
        <v>4.2697725874795</v>
      </c>
      <c r="K150" s="15">
        <v>0.89898851831602</v>
      </c>
      <c r="L150" s="15">
        <v>0.89898851831602</v>
      </c>
      <c r="M150" s="3"/>
      <c r="N150" s="3"/>
      <c r="O150" s="3"/>
      <c r="P150" s="3"/>
    </row>
    <row r="151" spans="1:16">
      <c r="A151" s="3" t="s">
        <v>51</v>
      </c>
      <c r="B151" s="5" t="s">
        <v>55</v>
      </c>
      <c r="C151" s="5" t="s">
        <v>46</v>
      </c>
      <c r="D151" s="5" t="s">
        <v>53</v>
      </c>
      <c r="E151" s="29">
        <v>2</v>
      </c>
      <c r="F151" s="11" t="s">
        <v>54</v>
      </c>
      <c r="G151" s="11">
        <v>0.384527777777778</v>
      </c>
      <c r="H151" s="11" t="s">
        <v>54</v>
      </c>
      <c r="I151" s="11">
        <v>-70.0052030640266</v>
      </c>
      <c r="J151" s="11">
        <v>6.02162071831189</v>
      </c>
      <c r="K151" s="15">
        <v>1</v>
      </c>
      <c r="L151" s="15">
        <v>1</v>
      </c>
      <c r="M151" s="11" t="s">
        <v>54</v>
      </c>
      <c r="N151" s="11" t="s">
        <v>54</v>
      </c>
      <c r="O151" s="15" t="s">
        <v>54</v>
      </c>
      <c r="P151" s="15" t="s">
        <v>54</v>
      </c>
    </row>
    <row r="152" spans="1:16">
      <c r="A152" s="3" t="s">
        <v>44</v>
      </c>
      <c r="B152" s="3" t="s">
        <v>45</v>
      </c>
      <c r="C152" s="4" t="s">
        <v>49</v>
      </c>
      <c r="D152" s="5" t="s">
        <v>50</v>
      </c>
      <c r="E152" s="31">
        <v>3</v>
      </c>
      <c r="F152" s="10">
        <v>0.965</v>
      </c>
      <c r="G152" s="10">
        <v>0.215</v>
      </c>
      <c r="H152" s="10">
        <v>4.48837209302326</v>
      </c>
      <c r="I152" s="10">
        <v>-69.8922558922559</v>
      </c>
      <c r="J152" s="10">
        <v>11.8164107744108</v>
      </c>
      <c r="K152" s="14">
        <v>1</v>
      </c>
      <c r="L152" s="14">
        <v>1</v>
      </c>
      <c r="M152" s="10">
        <v>-69.6591489361702</v>
      </c>
      <c r="N152" s="10">
        <v>11.773829787234</v>
      </c>
      <c r="O152" s="14">
        <v>1</v>
      </c>
      <c r="P152" s="14">
        <v>1</v>
      </c>
    </row>
    <row r="153" spans="1:16">
      <c r="A153" s="3" t="s">
        <v>51</v>
      </c>
      <c r="B153" s="4" t="s">
        <v>62</v>
      </c>
      <c r="C153" s="4" t="s">
        <v>49</v>
      </c>
      <c r="D153" s="4" t="s">
        <v>50</v>
      </c>
      <c r="E153" s="29">
        <v>2</v>
      </c>
      <c r="F153" s="11">
        <v>2.2018492013216</v>
      </c>
      <c r="G153" s="12">
        <v>0.457469444444444</v>
      </c>
      <c r="H153" s="11">
        <f>IFERROR(F153/G153,"")</f>
        <v>4.81310659774349</v>
      </c>
      <c r="I153" s="11">
        <v>-69.3471482889734</v>
      </c>
      <c r="J153" s="11">
        <v>8.000970373891</v>
      </c>
      <c r="K153" s="15">
        <v>0.968821292775665</v>
      </c>
      <c r="L153" s="15">
        <v>0.968821292775665</v>
      </c>
      <c r="M153" s="11">
        <v>-69.7798201358048</v>
      </c>
      <c r="N153" s="11">
        <v>7.75450691254279</v>
      </c>
      <c r="O153" s="15">
        <v>0.954128440366973</v>
      </c>
      <c r="P153" s="15">
        <v>0.954128440366973</v>
      </c>
    </row>
    <row r="154" spans="1:16">
      <c r="A154" s="3" t="s">
        <v>44</v>
      </c>
      <c r="B154" s="7" t="s">
        <v>60</v>
      </c>
      <c r="C154" s="4" t="s">
        <v>49</v>
      </c>
      <c r="D154" s="5" t="s">
        <v>50</v>
      </c>
      <c r="E154" s="30">
        <v>2</v>
      </c>
      <c r="F154" s="10">
        <v>2.832</v>
      </c>
      <c r="G154" s="10">
        <v>0.587</v>
      </c>
      <c r="H154" s="10">
        <v>4.82453151618399</v>
      </c>
      <c r="I154" s="10">
        <v>-69.0641183723798</v>
      </c>
      <c r="J154" s="10">
        <v>3.80371146732429</v>
      </c>
      <c r="K154" s="14">
        <v>0.938347718865598</v>
      </c>
      <c r="L154" s="14">
        <v>0.938347718865598</v>
      </c>
      <c r="M154" s="10">
        <v>-68.647125</v>
      </c>
      <c r="N154" s="10">
        <v>3.8748046875</v>
      </c>
      <c r="O154" s="14">
        <v>0.9453125</v>
      </c>
      <c r="P154" s="14">
        <v>0.9453125</v>
      </c>
    </row>
    <row r="155" spans="1:16">
      <c r="A155" s="3" t="s">
        <v>51</v>
      </c>
      <c r="B155" s="4" t="s">
        <v>62</v>
      </c>
      <c r="C155" s="4" t="s">
        <v>49</v>
      </c>
      <c r="D155" s="4" t="s">
        <v>61</v>
      </c>
      <c r="E155" s="30">
        <v>2</v>
      </c>
      <c r="F155" s="11">
        <v>2.1691858626008</v>
      </c>
      <c r="G155" s="11">
        <v>0.504752777777778</v>
      </c>
      <c r="H155" s="11">
        <v>4.29752139681301</v>
      </c>
      <c r="I155" s="11">
        <v>-68.7560513106525</v>
      </c>
      <c r="J155" s="11">
        <v>10.7332246932515</v>
      </c>
      <c r="K155" s="15">
        <v>0.950808700501952</v>
      </c>
      <c r="L155" s="15">
        <v>0.952258784160625</v>
      </c>
      <c r="M155" s="11">
        <v>-67.885887214914</v>
      </c>
      <c r="N155" s="11">
        <v>10.9930111445211</v>
      </c>
      <c r="O155" s="15">
        <v>0.971698113207547</v>
      </c>
      <c r="P155" s="15">
        <v>0.971698113207547</v>
      </c>
    </row>
    <row r="156" spans="1:16">
      <c r="A156" s="3" t="s">
        <v>51</v>
      </c>
      <c r="B156" s="4" t="s">
        <v>58</v>
      </c>
      <c r="C156" s="5" t="s">
        <v>46</v>
      </c>
      <c r="D156" s="6" t="s">
        <v>65</v>
      </c>
      <c r="E156" s="30">
        <v>2</v>
      </c>
      <c r="F156" s="11" t="s">
        <v>54</v>
      </c>
      <c r="G156" s="11">
        <v>0.393611111111111</v>
      </c>
      <c r="H156" s="11" t="s">
        <v>54</v>
      </c>
      <c r="I156" s="11">
        <v>-68.7276968754418</v>
      </c>
      <c r="J156" s="11">
        <v>7.44761107380178</v>
      </c>
      <c r="K156" s="15">
        <v>0.994768839247844</v>
      </c>
      <c r="L156" s="15">
        <v>0.994768839247844</v>
      </c>
      <c r="M156" s="3"/>
      <c r="N156" s="3"/>
      <c r="O156" s="3"/>
      <c r="P156" s="3"/>
    </row>
    <row r="157" spans="1:16">
      <c r="A157" s="3" t="s">
        <v>51</v>
      </c>
      <c r="B157" s="4" t="s">
        <v>58</v>
      </c>
      <c r="C157" s="6" t="s">
        <v>49</v>
      </c>
      <c r="D157" s="6" t="s">
        <v>50</v>
      </c>
      <c r="E157" s="31">
        <v>2</v>
      </c>
      <c r="F157" s="11">
        <v>5.07167007052898</v>
      </c>
      <c r="G157" s="11">
        <v>0.584552777777778</v>
      </c>
      <c r="H157" s="11">
        <v>8.67615425558207</v>
      </c>
      <c r="I157" s="11">
        <v>-68.5923189110355</v>
      </c>
      <c r="J157" s="11">
        <v>8.61154745989305</v>
      </c>
      <c r="K157" s="15">
        <v>0.929411764705882</v>
      </c>
      <c r="L157" s="15">
        <v>0.929411764705882</v>
      </c>
      <c r="M157" s="11">
        <v>-68.2873692443193</v>
      </c>
      <c r="N157" s="11">
        <v>9.38712200596835</v>
      </c>
      <c r="O157" s="15">
        <v>0.96875</v>
      </c>
      <c r="P157" s="15">
        <v>0.973214285714286</v>
      </c>
    </row>
    <row r="158" spans="1:16">
      <c r="A158" s="3" t="s">
        <v>51</v>
      </c>
      <c r="B158" s="5" t="s">
        <v>63</v>
      </c>
      <c r="C158" s="6" t="s">
        <v>49</v>
      </c>
      <c r="D158" s="6" t="s">
        <v>61</v>
      </c>
      <c r="E158" s="29">
        <v>1</v>
      </c>
      <c r="F158" s="11">
        <v>2.03014532768726</v>
      </c>
      <c r="G158" s="11">
        <v>0.497641666666667</v>
      </c>
      <c r="H158" s="11">
        <v>4.07953245009749</v>
      </c>
      <c r="I158" s="11">
        <v>-68.5155460770008</v>
      </c>
      <c r="J158" s="11">
        <v>4.81538156639353</v>
      </c>
      <c r="K158" s="15">
        <v>0.925693119317544</v>
      </c>
      <c r="L158" s="15">
        <v>0.925693119317544</v>
      </c>
      <c r="M158" s="11">
        <v>-68.9813673024248</v>
      </c>
      <c r="N158" s="11">
        <v>4.69779250799664</v>
      </c>
      <c r="O158" s="15">
        <v>0.908045977011494</v>
      </c>
      <c r="P158" s="15">
        <v>0.908045977011494</v>
      </c>
    </row>
    <row r="159" spans="1:16">
      <c r="A159" s="3" t="s">
        <v>44</v>
      </c>
      <c r="B159" s="3" t="s">
        <v>45</v>
      </c>
      <c r="C159" s="8" t="s">
        <v>49</v>
      </c>
      <c r="D159" s="5" t="s">
        <v>50</v>
      </c>
      <c r="E159" s="29">
        <v>3</v>
      </c>
      <c r="F159" s="10">
        <v>4.802</v>
      </c>
      <c r="G159" s="10">
        <v>1</v>
      </c>
      <c r="H159" s="10">
        <v>4.802</v>
      </c>
      <c r="I159" s="10">
        <v>-68.4677023712183</v>
      </c>
      <c r="J159" s="10">
        <v>8.05360793131644</v>
      </c>
      <c r="K159" s="14">
        <v>0.988961569910057</v>
      </c>
      <c r="L159" s="14">
        <v>0.988961569910057</v>
      </c>
      <c r="M159" s="10">
        <v>-69.9562844827586</v>
      </c>
      <c r="N159" s="10">
        <v>7.7772025862069</v>
      </c>
      <c r="O159" s="14">
        <v>0.995689655172414</v>
      </c>
      <c r="P159" s="14">
        <v>0.995689655172414</v>
      </c>
    </row>
    <row r="160" spans="1:16">
      <c r="A160" s="3" t="s">
        <v>44</v>
      </c>
      <c r="B160" s="3" t="s">
        <v>45</v>
      </c>
      <c r="C160" s="8" t="s">
        <v>49</v>
      </c>
      <c r="D160" s="5" t="s">
        <v>50</v>
      </c>
      <c r="E160" s="29">
        <v>2</v>
      </c>
      <c r="F160" s="10">
        <v>2.577</v>
      </c>
      <c r="G160" s="10">
        <v>0.546</v>
      </c>
      <c r="H160" s="10">
        <v>4.71978021978022</v>
      </c>
      <c r="I160" s="10">
        <v>-68.4649933949802</v>
      </c>
      <c r="J160" s="10">
        <v>3.19497225891678</v>
      </c>
      <c r="K160" s="14">
        <v>0.922060766182299</v>
      </c>
      <c r="L160" s="14">
        <v>0.922060766182299</v>
      </c>
      <c r="M160" s="10">
        <v>-69.9032941176471</v>
      </c>
      <c r="N160" s="10">
        <v>2.3978487394958</v>
      </c>
      <c r="O160" s="14">
        <v>0.890756302521008</v>
      </c>
      <c r="P160" s="14">
        <v>0.890756302521008</v>
      </c>
    </row>
    <row r="161" spans="1:16">
      <c r="A161" s="3" t="s">
        <v>44</v>
      </c>
      <c r="B161" s="3" t="s">
        <v>59</v>
      </c>
      <c r="C161" s="4" t="s">
        <v>49</v>
      </c>
      <c r="D161" s="5" t="s">
        <v>50</v>
      </c>
      <c r="E161" s="29">
        <v>1</v>
      </c>
      <c r="F161" s="10">
        <v>2.716</v>
      </c>
      <c r="G161" s="10">
        <v>0.607</v>
      </c>
      <c r="H161" s="10">
        <v>4.47446457990115</v>
      </c>
      <c r="I161" s="10">
        <v>-68.1081081081081</v>
      </c>
      <c r="J161" s="10">
        <v>10.4577955346651</v>
      </c>
      <c r="K161" s="14">
        <v>0.99529964747356</v>
      </c>
      <c r="L161" s="14">
        <v>0.99529964747356</v>
      </c>
      <c r="M161" s="10">
        <v>-68.335731092437</v>
      </c>
      <c r="N161" s="10">
        <v>10.5447142857143</v>
      </c>
      <c r="O161" s="14">
        <v>1</v>
      </c>
      <c r="P161" s="14">
        <v>1</v>
      </c>
    </row>
    <row r="162" spans="1:16">
      <c r="A162" s="3" t="s">
        <v>44</v>
      </c>
      <c r="B162" s="7" t="s">
        <v>60</v>
      </c>
      <c r="C162" s="4" t="s">
        <v>49</v>
      </c>
      <c r="D162" s="5" t="s">
        <v>50</v>
      </c>
      <c r="E162" s="29">
        <v>1</v>
      </c>
      <c r="F162" s="10">
        <v>2.832</v>
      </c>
      <c r="G162" s="10">
        <v>0.587</v>
      </c>
      <c r="H162" s="10">
        <v>4.82453151618399</v>
      </c>
      <c r="I162" s="10">
        <v>-67.8568155784651</v>
      </c>
      <c r="J162" s="10">
        <v>6.71078006872852</v>
      </c>
      <c r="K162" s="14">
        <v>0.964490263459336</v>
      </c>
      <c r="L162" s="14">
        <v>0.964490263459336</v>
      </c>
      <c r="M162" s="10">
        <v>-67.1758125</v>
      </c>
      <c r="N162" s="10">
        <v>7.1180078125</v>
      </c>
      <c r="O162" s="14">
        <v>0.9609375</v>
      </c>
      <c r="P162" s="14">
        <v>0.9609375</v>
      </c>
    </row>
    <row r="163" spans="1:16">
      <c r="A163" s="3" t="s">
        <v>44</v>
      </c>
      <c r="B163" s="7" t="s">
        <v>60</v>
      </c>
      <c r="C163" s="4" t="s">
        <v>49</v>
      </c>
      <c r="D163" s="5" t="s">
        <v>50</v>
      </c>
      <c r="E163" s="31">
        <v>1</v>
      </c>
      <c r="F163" s="10">
        <v>2.26</v>
      </c>
      <c r="G163" s="10">
        <v>0.263</v>
      </c>
      <c r="H163" s="10">
        <v>8.59315589353612</v>
      </c>
      <c r="I163" s="10">
        <v>-67.7115987460815</v>
      </c>
      <c r="J163" s="10">
        <v>5.92234169278997</v>
      </c>
      <c r="K163" s="14">
        <v>0.943573667711599</v>
      </c>
      <c r="L163" s="14">
        <v>0.943573667711599</v>
      </c>
      <c r="M163" s="10">
        <v>-70.6202857142857</v>
      </c>
      <c r="N163" s="10">
        <v>2.75692857142857</v>
      </c>
      <c r="O163" s="14">
        <v>0.877551020408163</v>
      </c>
      <c r="P163" s="14">
        <v>0.877551020408163</v>
      </c>
    </row>
    <row r="164" spans="1:16">
      <c r="A164" s="3" t="s">
        <v>51</v>
      </c>
      <c r="B164" s="4" t="s">
        <v>62</v>
      </c>
      <c r="C164" s="4" t="s">
        <v>46</v>
      </c>
      <c r="D164" s="4" t="s">
        <v>53</v>
      </c>
      <c r="E164" s="29">
        <v>2</v>
      </c>
      <c r="F164" s="11"/>
      <c r="G164" s="11">
        <v>0.381861111111111</v>
      </c>
      <c r="H164" s="11"/>
      <c r="I164" s="11">
        <v>-67.5163265306122</v>
      </c>
      <c r="J164" s="11">
        <v>6.6265943877551</v>
      </c>
      <c r="K164" s="15">
        <v>0.998396501457726</v>
      </c>
      <c r="L164" s="15">
        <v>0.998396501457726</v>
      </c>
      <c r="M164" s="11"/>
      <c r="N164" s="11"/>
      <c r="O164" s="15"/>
      <c r="P164" s="15"/>
    </row>
    <row r="165" spans="1:16">
      <c r="A165" s="3" t="s">
        <v>44</v>
      </c>
      <c r="B165" s="7" t="s">
        <v>60</v>
      </c>
      <c r="C165" s="4" t="s">
        <v>46</v>
      </c>
      <c r="D165" s="5" t="s">
        <v>53</v>
      </c>
      <c r="E165" s="30">
        <v>1</v>
      </c>
      <c r="F165" s="10"/>
      <c r="G165" s="10">
        <v>0.226</v>
      </c>
      <c r="H165" s="10"/>
      <c r="I165" s="10">
        <v>-67.4779874213836</v>
      </c>
      <c r="J165" s="10">
        <v>13.3546981132075</v>
      </c>
      <c r="K165" s="14">
        <v>1</v>
      </c>
      <c r="L165" s="14">
        <v>1</v>
      </c>
      <c r="M165" s="3"/>
      <c r="N165" s="3"/>
      <c r="O165" s="3"/>
      <c r="P165" s="3"/>
    </row>
    <row r="166" spans="1:16">
      <c r="A166" s="3" t="s">
        <v>51</v>
      </c>
      <c r="B166" s="4" t="s">
        <v>62</v>
      </c>
      <c r="C166" s="4" t="s">
        <v>49</v>
      </c>
      <c r="D166" s="4" t="s">
        <v>61</v>
      </c>
      <c r="E166" s="30">
        <v>2</v>
      </c>
      <c r="F166" s="11">
        <v>2.1691858626008</v>
      </c>
      <c r="G166" s="11">
        <v>0.504916666666667</v>
      </c>
      <c r="H166" s="11">
        <v>4.29473247136754</v>
      </c>
      <c r="I166" s="11">
        <v>-67.4048224753899</v>
      </c>
      <c r="J166" s="11">
        <v>10.4530057515762</v>
      </c>
      <c r="K166" s="15">
        <v>0.960070788629576</v>
      </c>
      <c r="L166" s="15">
        <v>0.961508682667847</v>
      </c>
      <c r="M166" s="11">
        <v>-67.1128263473398</v>
      </c>
      <c r="N166" s="11">
        <v>10.602702385035</v>
      </c>
      <c r="O166" s="15">
        <v>0.971698113207547</v>
      </c>
      <c r="P166" s="15">
        <v>0.971698113207547</v>
      </c>
    </row>
    <row r="167" spans="1:16">
      <c r="A167" s="3" t="s">
        <v>51</v>
      </c>
      <c r="B167" s="6" t="s">
        <v>52</v>
      </c>
      <c r="C167" s="6" t="s">
        <v>46</v>
      </c>
      <c r="D167" s="6" t="s">
        <v>53</v>
      </c>
      <c r="E167" s="33">
        <v>2</v>
      </c>
      <c r="F167" s="11" t="s">
        <v>54</v>
      </c>
      <c r="G167" s="11">
        <v>0.441419444444444</v>
      </c>
      <c r="H167" s="11" t="s">
        <v>54</v>
      </c>
      <c r="I167" s="11">
        <v>-67.0069260798388</v>
      </c>
      <c r="J167" s="11">
        <v>10.7806695472862</v>
      </c>
      <c r="K167" s="15">
        <v>1</v>
      </c>
      <c r="L167" s="15">
        <v>1</v>
      </c>
      <c r="M167" s="3"/>
      <c r="N167" s="3"/>
      <c r="O167" s="3"/>
      <c r="P167" s="3"/>
    </row>
    <row r="168" spans="1:16">
      <c r="A168" s="3" t="s">
        <v>51</v>
      </c>
      <c r="B168" s="6" t="s">
        <v>55</v>
      </c>
      <c r="C168" s="6" t="s">
        <v>49</v>
      </c>
      <c r="D168" s="6" t="s">
        <v>61</v>
      </c>
      <c r="E168" s="29">
        <v>1</v>
      </c>
      <c r="F168" s="11">
        <v>2.15796139836311</v>
      </c>
      <c r="G168" s="11">
        <v>0.457166666666667</v>
      </c>
      <c r="H168" s="11">
        <v>4.72029471023649</v>
      </c>
      <c r="I168" s="11">
        <v>-66.9460458240946</v>
      </c>
      <c r="J168" s="11">
        <v>8.78142130142892</v>
      </c>
      <c r="K168" s="15">
        <v>0.990145355999015</v>
      </c>
      <c r="L168" s="15">
        <v>0.991993101749199</v>
      </c>
      <c r="M168" s="11">
        <v>-67.4354511851097</v>
      </c>
      <c r="N168" s="11">
        <v>8.59815865950423</v>
      </c>
      <c r="O168" s="15">
        <v>1</v>
      </c>
      <c r="P168" s="15">
        <v>1</v>
      </c>
    </row>
    <row r="169" spans="1:16">
      <c r="A169" s="3" t="s">
        <v>44</v>
      </c>
      <c r="B169" s="3" t="s">
        <v>59</v>
      </c>
      <c r="C169" s="4" t="s">
        <v>49</v>
      </c>
      <c r="D169" s="5" t="s">
        <v>50</v>
      </c>
      <c r="E169" s="31">
        <v>2</v>
      </c>
      <c r="F169" s="10">
        <v>2.708</v>
      </c>
      <c r="G169" s="10">
        <v>0.691</v>
      </c>
      <c r="H169" s="10">
        <v>3.91895803183792</v>
      </c>
      <c r="I169" s="10">
        <v>-66.8698845750262</v>
      </c>
      <c r="J169" s="10">
        <v>9.86646169989507</v>
      </c>
      <c r="K169" s="14">
        <v>0.985309548793284</v>
      </c>
      <c r="L169" s="14">
        <v>0.985309548793284</v>
      </c>
      <c r="M169" s="10">
        <v>-66.0219448818898</v>
      </c>
      <c r="N169" s="10">
        <v>10.0665826771654</v>
      </c>
      <c r="O169" s="14">
        <v>0.976377952755905</v>
      </c>
      <c r="P169" s="14">
        <v>0.976377952755905</v>
      </c>
    </row>
    <row r="170" spans="1:16">
      <c r="A170" s="3" t="s">
        <v>51</v>
      </c>
      <c r="B170" s="5" t="s">
        <v>63</v>
      </c>
      <c r="C170" s="5" t="s">
        <v>46</v>
      </c>
      <c r="D170" s="5" t="s">
        <v>57</v>
      </c>
      <c r="E170" s="29">
        <v>3</v>
      </c>
      <c r="F170" s="11" t="s">
        <v>54</v>
      </c>
      <c r="G170" s="11">
        <v>0.371925</v>
      </c>
      <c r="H170" s="11" t="s">
        <v>54</v>
      </c>
      <c r="I170" s="11">
        <v>-66.6647243388615</v>
      </c>
      <c r="J170" s="11">
        <v>12.0780222807411</v>
      </c>
      <c r="K170" s="15">
        <v>1</v>
      </c>
      <c r="L170" s="15">
        <v>1</v>
      </c>
      <c r="M170" s="3"/>
      <c r="N170" s="3"/>
      <c r="O170" s="3"/>
      <c r="P170" s="3"/>
    </row>
    <row r="171" spans="1:16">
      <c r="A171" s="3" t="s">
        <v>44</v>
      </c>
      <c r="B171" s="3" t="s">
        <v>59</v>
      </c>
      <c r="C171" s="4" t="s">
        <v>49</v>
      </c>
      <c r="D171" s="5" t="s">
        <v>50</v>
      </c>
      <c r="E171" s="29">
        <v>2</v>
      </c>
      <c r="F171" s="10">
        <v>2.716</v>
      </c>
      <c r="G171" s="10">
        <v>0.607</v>
      </c>
      <c r="H171" s="10">
        <v>4.47446457990115</v>
      </c>
      <c r="I171" s="10">
        <v>-66.5529411764706</v>
      </c>
      <c r="J171" s="10">
        <v>6.67071647058824</v>
      </c>
      <c r="K171" s="14">
        <v>0.96</v>
      </c>
      <c r="L171" s="14">
        <v>0.96</v>
      </c>
      <c r="M171" s="10">
        <v>-66.077094017094</v>
      </c>
      <c r="N171" s="10">
        <v>6.65910256410256</v>
      </c>
      <c r="O171" s="14">
        <v>0.965811965811966</v>
      </c>
      <c r="P171" s="14">
        <v>0.965811965811966</v>
      </c>
    </row>
    <row r="172" spans="1:16">
      <c r="A172" s="3" t="s">
        <v>44</v>
      </c>
      <c r="B172" s="3" t="s">
        <v>56</v>
      </c>
      <c r="C172" s="4" t="s">
        <v>49</v>
      </c>
      <c r="D172" s="5" t="s">
        <v>61</v>
      </c>
      <c r="E172" s="29">
        <v>1</v>
      </c>
      <c r="F172" s="10">
        <v>2.859</v>
      </c>
      <c r="G172" s="10">
        <v>0.645</v>
      </c>
      <c r="H172" s="10">
        <v>4.43255813953488</v>
      </c>
      <c r="I172" s="10">
        <v>-66.3790322580645</v>
      </c>
      <c r="J172" s="10">
        <v>14.7603686635945</v>
      </c>
      <c r="K172" s="14">
        <v>0.998847926267281</v>
      </c>
      <c r="L172" s="14">
        <v>0.998847926267281</v>
      </c>
      <c r="M172" s="10">
        <v>-66.7607723577236</v>
      </c>
      <c r="N172" s="10">
        <v>14.5673333333333</v>
      </c>
      <c r="O172" s="14">
        <v>1</v>
      </c>
      <c r="P172" s="14">
        <v>1</v>
      </c>
    </row>
    <row r="173" spans="1:16">
      <c r="A173" s="3" t="s">
        <v>44</v>
      </c>
      <c r="B173" s="7" t="s">
        <v>60</v>
      </c>
      <c r="C173" s="4" t="s">
        <v>49</v>
      </c>
      <c r="D173" s="5" t="s">
        <v>50</v>
      </c>
      <c r="E173" s="31">
        <v>1</v>
      </c>
      <c r="F173" s="10">
        <v>6.052</v>
      </c>
      <c r="G173" s="10">
        <v>0.637</v>
      </c>
      <c r="H173" s="10">
        <v>9.50078492935636</v>
      </c>
      <c r="I173" s="10">
        <v>-66.2927107061503</v>
      </c>
      <c r="J173" s="10">
        <v>10.7099703872437</v>
      </c>
      <c r="K173" s="14">
        <v>0.972665148063781</v>
      </c>
      <c r="L173" s="14">
        <v>0.972665148063781</v>
      </c>
      <c r="M173" s="10">
        <v>-67.16436996337</v>
      </c>
      <c r="N173" s="10">
        <v>11.0824358974359</v>
      </c>
      <c r="O173" s="14">
        <v>0.970695970695971</v>
      </c>
      <c r="P173" s="14">
        <v>0.970695970695971</v>
      </c>
    </row>
    <row r="174" spans="1:16">
      <c r="A174" s="3" t="s">
        <v>51</v>
      </c>
      <c r="B174" s="5" t="s">
        <v>55</v>
      </c>
      <c r="C174" s="5" t="s">
        <v>46</v>
      </c>
      <c r="D174" s="5" t="s">
        <v>53</v>
      </c>
      <c r="E174" s="29">
        <v>1</v>
      </c>
      <c r="F174" s="11" t="s">
        <v>54</v>
      </c>
      <c r="G174" s="11">
        <v>0.377838888888889</v>
      </c>
      <c r="H174" s="11" t="s">
        <v>54</v>
      </c>
      <c r="I174" s="11">
        <v>-66.2886764705882</v>
      </c>
      <c r="J174" s="11">
        <v>11.7805147058824</v>
      </c>
      <c r="K174" s="15">
        <v>1</v>
      </c>
      <c r="L174" s="15">
        <v>1</v>
      </c>
      <c r="M174" s="11" t="s">
        <v>54</v>
      </c>
      <c r="N174" s="11" t="s">
        <v>54</v>
      </c>
      <c r="O174" s="15" t="s">
        <v>54</v>
      </c>
      <c r="P174" s="15" t="s">
        <v>54</v>
      </c>
    </row>
    <row r="175" spans="1:16">
      <c r="A175" s="3" t="s">
        <v>44</v>
      </c>
      <c r="B175" s="7" t="s">
        <v>60</v>
      </c>
      <c r="C175" s="4" t="s">
        <v>46</v>
      </c>
      <c r="D175" s="5" t="s">
        <v>53</v>
      </c>
      <c r="E175" s="29">
        <v>1</v>
      </c>
      <c r="F175" s="10"/>
      <c r="G175" s="10">
        <v>0.226</v>
      </c>
      <c r="H175" s="10"/>
      <c r="I175" s="10">
        <v>-66.2463235294118</v>
      </c>
      <c r="J175" s="10">
        <v>16.6038088235294</v>
      </c>
      <c r="K175" s="14">
        <v>1</v>
      </c>
      <c r="L175" s="14">
        <v>1</v>
      </c>
      <c r="M175" s="3"/>
      <c r="N175" s="3"/>
      <c r="O175" s="3"/>
      <c r="P175" s="3"/>
    </row>
    <row r="176" spans="1:16">
      <c r="A176" s="3" t="s">
        <v>44</v>
      </c>
      <c r="B176" s="7" t="s">
        <v>60</v>
      </c>
      <c r="C176" s="4" t="s">
        <v>49</v>
      </c>
      <c r="D176" s="5" t="s">
        <v>50</v>
      </c>
      <c r="E176" s="29">
        <v>2</v>
      </c>
      <c r="F176" s="10">
        <v>3.814</v>
      </c>
      <c r="G176" s="10">
        <v>0.402</v>
      </c>
      <c r="H176" s="10">
        <v>9.48756218905473</v>
      </c>
      <c r="I176" s="10">
        <v>-65.5553539019964</v>
      </c>
      <c r="J176" s="10">
        <v>8.76520508166969</v>
      </c>
      <c r="K176" s="14">
        <v>0.963702359346643</v>
      </c>
      <c r="L176" s="14">
        <v>0.963702359346643</v>
      </c>
      <c r="M176" s="10">
        <v>-64.8258692810458</v>
      </c>
      <c r="N176" s="10">
        <v>8.862</v>
      </c>
      <c r="O176" s="14">
        <v>0.947712418300653</v>
      </c>
      <c r="P176" s="14">
        <v>0.947712418300653</v>
      </c>
    </row>
    <row r="177" spans="1:16">
      <c r="A177" s="3" t="s">
        <v>44</v>
      </c>
      <c r="B177" s="3" t="s">
        <v>59</v>
      </c>
      <c r="C177" s="4" t="s">
        <v>49</v>
      </c>
      <c r="D177" s="5" t="s">
        <v>50</v>
      </c>
      <c r="E177" s="29">
        <v>1</v>
      </c>
      <c r="F177" s="10">
        <v>2.418</v>
      </c>
      <c r="G177" s="10">
        <v>0.623</v>
      </c>
      <c r="H177" s="10">
        <v>3.88121990369181</v>
      </c>
      <c r="I177" s="10">
        <v>-65.2381477398015</v>
      </c>
      <c r="J177" s="10">
        <v>9.64480044101433</v>
      </c>
      <c r="K177" s="14">
        <v>0.972436604189636</v>
      </c>
      <c r="L177" s="14">
        <v>0.972436604189636</v>
      </c>
      <c r="M177" s="10">
        <v>-65.2386929824561</v>
      </c>
      <c r="N177" s="10">
        <v>9.92830701754386</v>
      </c>
      <c r="O177" s="14">
        <v>0.991228070175439</v>
      </c>
      <c r="P177" s="14">
        <v>0.991228070175439</v>
      </c>
    </row>
    <row r="178" spans="1:16">
      <c r="A178" s="3" t="s">
        <v>44</v>
      </c>
      <c r="B178" s="3" t="s">
        <v>59</v>
      </c>
      <c r="C178" s="4" t="s">
        <v>49</v>
      </c>
      <c r="D178" s="5" t="s">
        <v>50</v>
      </c>
      <c r="E178" s="30">
        <v>1</v>
      </c>
      <c r="F178" s="10">
        <v>2.716</v>
      </c>
      <c r="G178" s="10">
        <v>0.607</v>
      </c>
      <c r="H178" s="10">
        <v>4.47446457990115</v>
      </c>
      <c r="I178" s="10">
        <v>-65.1966426858513</v>
      </c>
      <c r="J178" s="10">
        <v>10.2103033573141</v>
      </c>
      <c r="K178" s="14">
        <v>0.989208633093525</v>
      </c>
      <c r="L178" s="14">
        <v>0.989208633093525</v>
      </c>
      <c r="M178" s="10">
        <v>-65.6326666666667</v>
      </c>
      <c r="N178" s="10">
        <v>9.87193162393162</v>
      </c>
      <c r="O178" s="14">
        <v>0.982905982905983</v>
      </c>
      <c r="P178" s="14">
        <v>0.982905982905983</v>
      </c>
    </row>
    <row r="179" spans="1:16">
      <c r="A179" s="3" t="s">
        <v>51</v>
      </c>
      <c r="B179" s="4" t="s">
        <v>58</v>
      </c>
      <c r="C179" s="6" t="s">
        <v>49</v>
      </c>
      <c r="D179" s="6" t="s">
        <v>50</v>
      </c>
      <c r="E179" s="29">
        <v>2</v>
      </c>
      <c r="F179" s="11">
        <v>5.07167007052898</v>
      </c>
      <c r="G179" s="11">
        <v>0.584886111111111</v>
      </c>
      <c r="H179" s="11">
        <v>8.67120961531179</v>
      </c>
      <c r="I179" s="11">
        <v>-65.1953443258972</v>
      </c>
      <c r="J179" s="11">
        <v>11.4417889185257</v>
      </c>
      <c r="K179" s="15">
        <v>0.935305528612997</v>
      </c>
      <c r="L179" s="15">
        <v>0.935305528612997</v>
      </c>
      <c r="M179" s="11">
        <v>-63.3005354723533</v>
      </c>
      <c r="N179" s="11">
        <v>11.3096964440249</v>
      </c>
      <c r="O179" s="15">
        <v>0.955555555555556</v>
      </c>
      <c r="P179" s="15">
        <v>0.96</v>
      </c>
    </row>
    <row r="180" spans="1:16">
      <c r="A180" s="3" t="s">
        <v>44</v>
      </c>
      <c r="B180" s="3" t="s">
        <v>56</v>
      </c>
      <c r="C180" s="4" t="s">
        <v>46</v>
      </c>
      <c r="D180" s="5" t="s">
        <v>47</v>
      </c>
      <c r="E180" s="30">
        <v>1</v>
      </c>
      <c r="F180" s="10"/>
      <c r="G180" s="10">
        <v>0.226</v>
      </c>
      <c r="H180" s="10"/>
      <c r="I180" s="10">
        <v>-65.0345911949686</v>
      </c>
      <c r="J180" s="10">
        <v>16.0661886792453</v>
      </c>
      <c r="K180" s="14">
        <v>1</v>
      </c>
      <c r="L180" s="14">
        <v>1</v>
      </c>
      <c r="M180" s="3"/>
      <c r="N180" s="3"/>
      <c r="O180" s="3"/>
      <c r="P180" s="3"/>
    </row>
    <row r="181" spans="1:16">
      <c r="A181" s="3" t="s">
        <v>51</v>
      </c>
      <c r="B181" s="4" t="s">
        <v>58</v>
      </c>
      <c r="C181" s="5" t="s">
        <v>46</v>
      </c>
      <c r="D181" s="6" t="s">
        <v>53</v>
      </c>
      <c r="E181" s="29">
        <v>2</v>
      </c>
      <c r="F181" s="11" t="s">
        <v>54</v>
      </c>
      <c r="G181" s="11">
        <v>0.402302777777778</v>
      </c>
      <c r="H181" s="11" t="s">
        <v>54</v>
      </c>
      <c r="I181" s="11">
        <v>-64.6232725262576</v>
      </c>
      <c r="J181" s="11">
        <v>14.5440656958264</v>
      </c>
      <c r="K181" s="15">
        <v>1</v>
      </c>
      <c r="L181" s="15">
        <v>1</v>
      </c>
      <c r="M181" s="3"/>
      <c r="N181" s="3"/>
      <c r="O181" s="3"/>
      <c r="P181" s="3"/>
    </row>
    <row r="182" spans="1:16">
      <c r="A182" s="3" t="s">
        <v>44</v>
      </c>
      <c r="B182" s="3" t="s">
        <v>48</v>
      </c>
      <c r="C182" s="4" t="s">
        <v>46</v>
      </c>
      <c r="D182" s="5" t="s">
        <v>53</v>
      </c>
      <c r="E182" s="31">
        <v>2</v>
      </c>
      <c r="F182" s="10"/>
      <c r="G182" s="10">
        <v>0.226</v>
      </c>
      <c r="H182" s="10"/>
      <c r="I182" s="10">
        <v>-64.5723270440252</v>
      </c>
      <c r="J182" s="10">
        <v>14.4582232704403</v>
      </c>
      <c r="K182" s="14">
        <v>1</v>
      </c>
      <c r="L182" s="14">
        <v>1</v>
      </c>
      <c r="M182" s="3"/>
      <c r="N182" s="3"/>
      <c r="O182" s="3"/>
      <c r="P182" s="3"/>
    </row>
    <row r="183" spans="1:16">
      <c r="A183" s="3" t="s">
        <v>51</v>
      </c>
      <c r="B183" s="5" t="s">
        <v>63</v>
      </c>
      <c r="C183" s="6" t="s">
        <v>49</v>
      </c>
      <c r="D183" s="6" t="s">
        <v>50</v>
      </c>
      <c r="E183" s="29">
        <v>2</v>
      </c>
      <c r="F183" s="11">
        <v>2.02233774805069</v>
      </c>
      <c r="G183" s="11">
        <v>0.476697222222222</v>
      </c>
      <c r="H183" s="11">
        <v>4.24239465592677</v>
      </c>
      <c r="I183" s="11">
        <v>-64.5049387123646</v>
      </c>
      <c r="J183" s="11">
        <v>5.26849599845293</v>
      </c>
      <c r="K183" s="15">
        <v>0.875639652505058</v>
      </c>
      <c r="L183" s="15">
        <v>0.875639652505058</v>
      </c>
      <c r="M183" s="11">
        <v>-64.4950445868455</v>
      </c>
      <c r="N183" s="11">
        <v>5.42171052258577</v>
      </c>
      <c r="O183" s="15">
        <v>0.851063829787234</v>
      </c>
      <c r="P183" s="15">
        <v>0.851063829787234</v>
      </c>
    </row>
    <row r="184" spans="1:16">
      <c r="A184" s="3" t="s">
        <v>44</v>
      </c>
      <c r="B184" s="7" t="s">
        <v>60</v>
      </c>
      <c r="C184" s="4" t="s">
        <v>49</v>
      </c>
      <c r="D184" s="5" t="s">
        <v>50</v>
      </c>
      <c r="E184" s="31">
        <v>1</v>
      </c>
      <c r="F184" s="10">
        <v>2.608</v>
      </c>
      <c r="G184" s="10">
        <v>0.638</v>
      </c>
      <c r="H184" s="10">
        <v>4.08777429467085</v>
      </c>
      <c r="I184" s="10">
        <v>-64.4783105022831</v>
      </c>
      <c r="J184" s="10">
        <v>10.518098173516</v>
      </c>
      <c r="K184" s="14">
        <v>0.988584474885845</v>
      </c>
      <c r="L184" s="14">
        <v>0.988584474885845</v>
      </c>
      <c r="M184" s="10">
        <v>-64.6285575221239</v>
      </c>
      <c r="N184" s="10">
        <v>10.3842123893805</v>
      </c>
      <c r="O184" s="14">
        <v>0.991150442477876</v>
      </c>
      <c r="P184" s="14">
        <v>0.991150442477876</v>
      </c>
    </row>
    <row r="185" spans="1:16">
      <c r="A185" s="3" t="s">
        <v>51</v>
      </c>
      <c r="B185" s="5" t="s">
        <v>63</v>
      </c>
      <c r="C185" s="6" t="s">
        <v>49</v>
      </c>
      <c r="D185" s="6" t="s">
        <v>61</v>
      </c>
      <c r="E185" s="29">
        <v>3</v>
      </c>
      <c r="F185" s="11">
        <v>2.23328234964609</v>
      </c>
      <c r="G185" s="11">
        <v>0.6015</v>
      </c>
      <c r="H185" s="11">
        <v>3.71285511163107</v>
      </c>
      <c r="I185" s="11">
        <v>-64.390625</v>
      </c>
      <c r="J185" s="11">
        <v>6.48216610863095</v>
      </c>
      <c r="K185" s="15">
        <v>0.980375744047619</v>
      </c>
      <c r="L185" s="15">
        <v>0.980375744047619</v>
      </c>
      <c r="M185" s="11">
        <v>-62.8648750766326</v>
      </c>
      <c r="N185" s="11">
        <v>7.00024051809199</v>
      </c>
      <c r="O185" s="15">
        <v>0.990825688073395</v>
      </c>
      <c r="P185" s="15">
        <v>0.990825688073395</v>
      </c>
    </row>
    <row r="186" spans="1:16">
      <c r="A186" s="3" t="s">
        <v>44</v>
      </c>
      <c r="B186" s="3" t="s">
        <v>56</v>
      </c>
      <c r="C186" s="4" t="s">
        <v>46</v>
      </c>
      <c r="D186" s="5" t="s">
        <v>57</v>
      </c>
      <c r="E186" s="29">
        <v>1</v>
      </c>
      <c r="F186" s="10"/>
      <c r="G186" s="10">
        <v>0.226</v>
      </c>
      <c r="H186" s="10"/>
      <c r="I186" s="10">
        <v>-64.3312302839117</v>
      </c>
      <c r="J186" s="10">
        <v>11.3946750788644</v>
      </c>
      <c r="K186" s="14">
        <v>1</v>
      </c>
      <c r="L186" s="14">
        <v>1</v>
      </c>
      <c r="M186" s="3"/>
      <c r="N186" s="3"/>
      <c r="O186" s="3"/>
      <c r="P186" s="3"/>
    </row>
    <row r="187" spans="1:16">
      <c r="A187" s="3" t="s">
        <v>44</v>
      </c>
      <c r="B187" s="3" t="s">
        <v>48</v>
      </c>
      <c r="C187" s="4" t="s">
        <v>49</v>
      </c>
      <c r="D187" s="5" t="s">
        <v>50</v>
      </c>
      <c r="E187" s="29">
        <v>1</v>
      </c>
      <c r="F187" s="10">
        <v>2.784</v>
      </c>
      <c r="G187" s="10">
        <v>0.674</v>
      </c>
      <c r="H187" s="10">
        <v>4.13056379821958</v>
      </c>
      <c r="I187" s="10">
        <v>-64.0704375667022</v>
      </c>
      <c r="J187" s="10">
        <v>9.94310672358591</v>
      </c>
      <c r="K187" s="14">
        <v>0.988260405549626</v>
      </c>
      <c r="L187" s="14">
        <v>0.988260405549626</v>
      </c>
      <c r="M187" s="10">
        <v>-63.4065984251968</v>
      </c>
      <c r="N187" s="10">
        <v>10.1596771653543</v>
      </c>
      <c r="O187" s="14">
        <v>0.992125984251969</v>
      </c>
      <c r="P187" s="14">
        <v>0.992125984251969</v>
      </c>
    </row>
    <row r="188" spans="1:16">
      <c r="A188" s="3" t="s">
        <v>44</v>
      </c>
      <c r="B188" s="3" t="s">
        <v>56</v>
      </c>
      <c r="C188" s="4" t="s">
        <v>49</v>
      </c>
      <c r="D188" s="5" t="s">
        <v>61</v>
      </c>
      <c r="E188" s="29">
        <v>1</v>
      </c>
      <c r="F188" s="10">
        <v>2.859</v>
      </c>
      <c r="G188" s="10">
        <v>0.645</v>
      </c>
      <c r="H188" s="10">
        <v>4.43255813953488</v>
      </c>
      <c r="I188" s="10">
        <v>-63.6</v>
      </c>
      <c r="J188" s="10">
        <v>11.3718052287582</v>
      </c>
      <c r="K188" s="14">
        <v>0.989542483660131</v>
      </c>
      <c r="L188" s="14">
        <v>0.989542483660131</v>
      </c>
      <c r="M188" s="10">
        <v>-63.2020650406504</v>
      </c>
      <c r="N188" s="10">
        <v>11.1127398373984</v>
      </c>
      <c r="O188" s="14">
        <v>1</v>
      </c>
      <c r="P188" s="14">
        <v>1</v>
      </c>
    </row>
    <row r="189" spans="1:16">
      <c r="A189" s="3" t="s">
        <v>44</v>
      </c>
      <c r="B189" s="3" t="s">
        <v>48</v>
      </c>
      <c r="C189" s="4" t="s">
        <v>49</v>
      </c>
      <c r="D189" s="5" t="s">
        <v>50</v>
      </c>
      <c r="E189" s="33">
        <v>2</v>
      </c>
      <c r="F189" s="10">
        <v>3.658</v>
      </c>
      <c r="G189" s="10">
        <v>1</v>
      </c>
      <c r="H189" s="10">
        <v>3.658</v>
      </c>
      <c r="I189" s="10">
        <v>-63.559665038381</v>
      </c>
      <c r="J189" s="10">
        <v>12.0587913468248</v>
      </c>
      <c r="K189" s="14">
        <v>0.993021632937893</v>
      </c>
      <c r="L189" s="14">
        <v>0.993021632937893</v>
      </c>
      <c r="M189" s="10">
        <v>-65.6566783216783</v>
      </c>
      <c r="N189" s="10">
        <v>11.1825174825175</v>
      </c>
      <c r="O189" s="14">
        <v>0.986013986013986</v>
      </c>
      <c r="P189" s="14">
        <v>0.986013986013986</v>
      </c>
    </row>
    <row r="190" spans="1:16">
      <c r="A190" s="3" t="s">
        <v>51</v>
      </c>
      <c r="B190" s="6" t="s">
        <v>55</v>
      </c>
      <c r="C190" s="6" t="s">
        <v>46</v>
      </c>
      <c r="D190" s="5" t="s">
        <v>57</v>
      </c>
      <c r="E190" s="31">
        <v>1</v>
      </c>
      <c r="F190" s="11" t="s">
        <v>54</v>
      </c>
      <c r="G190" s="11">
        <v>0.375975</v>
      </c>
      <c r="H190" s="11" t="s">
        <v>54</v>
      </c>
      <c r="I190" s="11">
        <v>-63.3827050997783</v>
      </c>
      <c r="J190" s="11">
        <v>13.6847745750185</v>
      </c>
      <c r="K190" s="15">
        <v>0.990687361419069</v>
      </c>
      <c r="L190" s="15">
        <v>0.992609016999261</v>
      </c>
      <c r="M190" s="11" t="s">
        <v>54</v>
      </c>
      <c r="N190" s="11" t="s">
        <v>54</v>
      </c>
      <c r="O190" s="15" t="s">
        <v>54</v>
      </c>
      <c r="P190" s="15" t="s">
        <v>54</v>
      </c>
    </row>
    <row r="191" spans="1:16">
      <c r="A191" s="3" t="s">
        <v>51</v>
      </c>
      <c r="B191" s="4" t="s">
        <v>62</v>
      </c>
      <c r="C191" s="4" t="s">
        <v>49</v>
      </c>
      <c r="D191" s="4" t="s">
        <v>50</v>
      </c>
      <c r="E191" s="31">
        <v>2</v>
      </c>
      <c r="F191" s="11">
        <v>2.2018492013216</v>
      </c>
      <c r="G191" s="12">
        <v>0.457469444444444</v>
      </c>
      <c r="H191" s="11">
        <f>IFERROR(F191/G191,"")</f>
        <v>4.81310659774349</v>
      </c>
      <c r="I191" s="11">
        <v>-63.3697949828091</v>
      </c>
      <c r="J191" s="11">
        <v>5.7308114733223</v>
      </c>
      <c r="K191" s="15">
        <v>0.922959378581434</v>
      </c>
      <c r="L191" s="15">
        <v>0.924614796892907</v>
      </c>
      <c r="M191" s="11">
        <v>-63.0186882905598</v>
      </c>
      <c r="N191" s="11">
        <v>5.43414197940031</v>
      </c>
      <c r="O191" s="15">
        <v>0.925925925925926</v>
      </c>
      <c r="P191" s="15">
        <v>0.925925925925926</v>
      </c>
    </row>
    <row r="192" spans="1:16">
      <c r="A192" s="3" t="s">
        <v>51</v>
      </c>
      <c r="B192" s="4" t="s">
        <v>62</v>
      </c>
      <c r="C192" s="4" t="s">
        <v>46</v>
      </c>
      <c r="D192" s="4" t="s">
        <v>53</v>
      </c>
      <c r="E192" s="31">
        <v>1</v>
      </c>
      <c r="F192" s="11"/>
      <c r="G192" s="11">
        <v>0.381527777777778</v>
      </c>
      <c r="H192" s="11"/>
      <c r="I192" s="11">
        <v>-63.3275058275058</v>
      </c>
      <c r="J192" s="11">
        <v>15.0004211283508</v>
      </c>
      <c r="K192" s="15">
        <v>1</v>
      </c>
      <c r="L192" s="15">
        <v>1</v>
      </c>
      <c r="M192" s="11"/>
      <c r="N192" s="11"/>
      <c r="O192" s="15"/>
      <c r="P192" s="15"/>
    </row>
    <row r="193" spans="1:16">
      <c r="A193" s="3" t="s">
        <v>51</v>
      </c>
      <c r="B193" s="5" t="s">
        <v>63</v>
      </c>
      <c r="C193" s="6" t="s">
        <v>49</v>
      </c>
      <c r="D193" s="6" t="s">
        <v>61</v>
      </c>
      <c r="E193" s="31">
        <v>2</v>
      </c>
      <c r="F193" s="11">
        <v>2.03014532768726</v>
      </c>
      <c r="G193" s="11">
        <v>0.497947222222222</v>
      </c>
      <c r="H193" s="11">
        <v>4.07702912494862</v>
      </c>
      <c r="I193" s="11">
        <v>-63.1828641644325</v>
      </c>
      <c r="J193" s="11">
        <v>10.4584607489946</v>
      </c>
      <c r="K193" s="15">
        <v>0.971291331546023</v>
      </c>
      <c r="L193" s="15">
        <v>0.971291331546023</v>
      </c>
      <c r="M193" s="11">
        <v>-62.6564212202724</v>
      </c>
      <c r="N193" s="11">
        <v>10.5509561244233</v>
      </c>
      <c r="O193" s="15">
        <v>0.977011494252874</v>
      </c>
      <c r="P193" s="15">
        <v>0.977011494252874</v>
      </c>
    </row>
    <row r="194" spans="1:16">
      <c r="A194" s="3" t="s">
        <v>51</v>
      </c>
      <c r="B194" s="5" t="s">
        <v>63</v>
      </c>
      <c r="C194" s="5" t="s">
        <v>46</v>
      </c>
      <c r="D194" s="5" t="s">
        <v>47</v>
      </c>
      <c r="E194" s="30">
        <v>2</v>
      </c>
      <c r="F194" s="11" t="s">
        <v>54</v>
      </c>
      <c r="G194" s="11">
        <v>0.38375</v>
      </c>
      <c r="H194" s="11" t="s">
        <v>54</v>
      </c>
      <c r="I194" s="11">
        <v>-62.9004780530204</v>
      </c>
      <c r="J194" s="11">
        <v>14.7321250724323</v>
      </c>
      <c r="K194" s="15">
        <v>1</v>
      </c>
      <c r="L194" s="15">
        <v>1</v>
      </c>
      <c r="M194" s="3"/>
      <c r="N194" s="3"/>
      <c r="O194" s="3"/>
      <c r="P194" s="3"/>
    </row>
    <row r="195" spans="1:16">
      <c r="A195" s="3" t="s">
        <v>51</v>
      </c>
      <c r="B195" s="6" t="s">
        <v>52</v>
      </c>
      <c r="C195" s="6" t="s">
        <v>46</v>
      </c>
      <c r="D195" s="6" t="s">
        <v>57</v>
      </c>
      <c r="E195" s="29">
        <v>2</v>
      </c>
      <c r="F195" s="11" t="s">
        <v>54</v>
      </c>
      <c r="G195" s="11">
        <v>0.435833333333333</v>
      </c>
      <c r="H195" s="11" t="s">
        <v>54</v>
      </c>
      <c r="I195" s="11">
        <v>-61.6596531497067</v>
      </c>
      <c r="J195" s="11">
        <v>9.10247903914818</v>
      </c>
      <c r="K195" s="15">
        <v>0.998469778117827</v>
      </c>
      <c r="L195" s="15">
        <v>0.998469778117827</v>
      </c>
      <c r="M195" s="3"/>
      <c r="N195" s="3"/>
      <c r="O195" s="3"/>
      <c r="P195" s="3"/>
    </row>
    <row r="196" spans="1:16">
      <c r="A196" s="3" t="s">
        <v>44</v>
      </c>
      <c r="B196" s="3" t="s">
        <v>45</v>
      </c>
      <c r="C196" s="4" t="s">
        <v>46</v>
      </c>
      <c r="D196" s="5" t="s">
        <v>53</v>
      </c>
      <c r="E196" s="34">
        <v>1</v>
      </c>
      <c r="F196" s="10"/>
      <c r="G196" s="10">
        <v>0.226</v>
      </c>
      <c r="H196" s="10"/>
      <c r="I196" s="10">
        <v>-61.6498422712934</v>
      </c>
      <c r="J196" s="10">
        <v>15.6336529968454</v>
      </c>
      <c r="K196" s="14">
        <v>1</v>
      </c>
      <c r="L196" s="14">
        <v>1</v>
      </c>
      <c r="M196" s="3"/>
      <c r="N196" s="3"/>
      <c r="O196" s="3"/>
      <c r="P196" s="3"/>
    </row>
    <row r="197" spans="1:16">
      <c r="A197" s="3" t="s">
        <v>51</v>
      </c>
      <c r="B197" s="6" t="s">
        <v>55</v>
      </c>
      <c r="C197" s="6" t="s">
        <v>49</v>
      </c>
      <c r="D197" s="6" t="s">
        <v>50</v>
      </c>
      <c r="E197" s="29">
        <v>2</v>
      </c>
      <c r="F197" s="12">
        <v>1.83681998944283</v>
      </c>
      <c r="G197" s="12">
        <v>0.4005</v>
      </c>
      <c r="H197" s="12">
        <v>4.58631707726049</v>
      </c>
      <c r="I197" s="12">
        <v>-61.639549436796</v>
      </c>
      <c r="J197" s="12">
        <v>11.2223178278404</v>
      </c>
      <c r="K197" s="16">
        <v>0.974412460019469</v>
      </c>
      <c r="L197" s="16">
        <v>0.974412460019469</v>
      </c>
      <c r="M197" s="12">
        <v>-62.5298362886958</v>
      </c>
      <c r="N197" s="12">
        <v>10.7621327600608</v>
      </c>
      <c r="O197" s="16">
        <v>0.968421052631579</v>
      </c>
      <c r="P197" s="16">
        <v>0.968421052631579</v>
      </c>
    </row>
    <row r="198" spans="1:16">
      <c r="A198" s="3" t="s">
        <v>44</v>
      </c>
      <c r="B198" s="3" t="s">
        <v>59</v>
      </c>
      <c r="C198" s="4" t="s">
        <v>46</v>
      </c>
      <c r="D198" s="5" t="s">
        <v>53</v>
      </c>
      <c r="E198" s="31">
        <v>3</v>
      </c>
      <c r="F198" s="10"/>
      <c r="G198" s="10">
        <v>0.226</v>
      </c>
      <c r="H198" s="10"/>
      <c r="I198" s="10">
        <v>-61.377358490566</v>
      </c>
      <c r="J198" s="10">
        <v>15.1416886792453</v>
      </c>
      <c r="K198" s="14">
        <v>1</v>
      </c>
      <c r="L198" s="14">
        <v>1</v>
      </c>
      <c r="M198" s="3"/>
      <c r="N198" s="3"/>
      <c r="O198" s="3"/>
      <c r="P198" s="3"/>
    </row>
    <row r="199" spans="1:16">
      <c r="A199" s="3" t="s">
        <v>51</v>
      </c>
      <c r="B199" s="4" t="s">
        <v>62</v>
      </c>
      <c r="C199" s="4" t="s">
        <v>46</v>
      </c>
      <c r="D199" s="4" t="s">
        <v>53</v>
      </c>
      <c r="E199" s="29">
        <v>1</v>
      </c>
      <c r="F199" s="11" t="s">
        <v>54</v>
      </c>
      <c r="G199" s="11">
        <v>0.381780555555556</v>
      </c>
      <c r="H199" s="11" t="s">
        <v>54</v>
      </c>
      <c r="I199" s="11">
        <v>-61.3468704512373</v>
      </c>
      <c r="J199" s="11">
        <v>11.0267922125182</v>
      </c>
      <c r="K199" s="15">
        <v>1</v>
      </c>
      <c r="L199" s="15">
        <v>1</v>
      </c>
      <c r="M199" s="11" t="s">
        <v>54</v>
      </c>
      <c r="N199" s="11" t="s">
        <v>54</v>
      </c>
      <c r="O199" s="15" t="s">
        <v>54</v>
      </c>
      <c r="P199" s="15" t="s">
        <v>54</v>
      </c>
    </row>
    <row r="200" spans="1:16">
      <c r="A200" s="3" t="s">
        <v>44</v>
      </c>
      <c r="B200" s="3" t="s">
        <v>56</v>
      </c>
      <c r="C200" s="4" t="s">
        <v>49</v>
      </c>
      <c r="D200" s="5" t="s">
        <v>50</v>
      </c>
      <c r="E200" s="29">
        <v>3</v>
      </c>
      <c r="F200" s="10">
        <v>5.621</v>
      </c>
      <c r="G200" s="10">
        <v>0.578</v>
      </c>
      <c r="H200" s="10">
        <v>9.72491349480969</v>
      </c>
      <c r="I200" s="10">
        <v>-61.3104325699746</v>
      </c>
      <c r="J200" s="10">
        <v>10.9165178117048</v>
      </c>
      <c r="K200" s="14">
        <v>0.986005089058524</v>
      </c>
      <c r="L200" s="14">
        <v>0.986005089058524</v>
      </c>
      <c r="M200" s="10">
        <v>-62.943484496124</v>
      </c>
      <c r="N200" s="10">
        <v>10.6110968992248</v>
      </c>
      <c r="O200" s="14">
        <v>0.972868217054264</v>
      </c>
      <c r="P200" s="14">
        <v>0.972868217054264</v>
      </c>
    </row>
    <row r="201" spans="1:16">
      <c r="A201" s="3" t="s">
        <v>44</v>
      </c>
      <c r="B201" s="3" t="s">
        <v>45</v>
      </c>
      <c r="C201" s="8" t="s">
        <v>49</v>
      </c>
      <c r="D201" s="5" t="s">
        <v>50</v>
      </c>
      <c r="E201" s="30">
        <v>1</v>
      </c>
      <c r="F201" s="10">
        <v>2.794</v>
      </c>
      <c r="G201" s="10">
        <v>0.965</v>
      </c>
      <c r="H201" s="10">
        <v>2.89533678756477</v>
      </c>
      <c r="I201" s="10">
        <v>-61.2780303030303</v>
      </c>
      <c r="J201" s="10">
        <v>5.31375681818182</v>
      </c>
      <c r="K201" s="14">
        <v>0.95</v>
      </c>
      <c r="L201" s="14">
        <v>0.95</v>
      </c>
      <c r="M201" s="10">
        <v>-61.7721382113821</v>
      </c>
      <c r="N201" s="10">
        <v>5.16786991869919</v>
      </c>
      <c r="O201" s="14">
        <v>0.943089430894309</v>
      </c>
      <c r="P201" s="14">
        <v>0.943089430894309</v>
      </c>
    </row>
    <row r="202" spans="1:16">
      <c r="A202" s="3" t="s">
        <v>51</v>
      </c>
      <c r="B202" s="4" t="s">
        <v>58</v>
      </c>
      <c r="C202" s="5" t="s">
        <v>46</v>
      </c>
      <c r="D202" s="6" t="s">
        <v>47</v>
      </c>
      <c r="E202" s="29">
        <v>2</v>
      </c>
      <c r="F202" s="11" t="s">
        <v>54</v>
      </c>
      <c r="G202" s="11">
        <v>0.397802777777778</v>
      </c>
      <c r="H202" s="11" t="s">
        <v>54</v>
      </c>
      <c r="I202" s="11">
        <v>-61.1163732886281</v>
      </c>
      <c r="J202" s="11">
        <v>13.4542426306231</v>
      </c>
      <c r="K202" s="15">
        <v>1</v>
      </c>
      <c r="L202" s="15">
        <v>1</v>
      </c>
      <c r="M202" s="3"/>
      <c r="N202" s="3"/>
      <c r="O202" s="3"/>
      <c r="P202" s="3"/>
    </row>
    <row r="203" spans="1:16">
      <c r="A203" s="3" t="s">
        <v>44</v>
      </c>
      <c r="B203" s="7" t="s">
        <v>60</v>
      </c>
      <c r="C203" s="4" t="s">
        <v>46</v>
      </c>
      <c r="D203" s="5" t="s">
        <v>47</v>
      </c>
      <c r="E203" s="30">
        <v>1</v>
      </c>
      <c r="F203" s="10"/>
      <c r="G203" s="10">
        <v>0.226</v>
      </c>
      <c r="H203" s="10"/>
      <c r="I203" s="10">
        <v>-61.0031446540881</v>
      </c>
      <c r="J203" s="10">
        <v>16.7953459119497</v>
      </c>
      <c r="K203" s="14">
        <v>1</v>
      </c>
      <c r="L203" s="14">
        <v>1</v>
      </c>
      <c r="M203" s="3"/>
      <c r="N203" s="3"/>
      <c r="O203" s="3"/>
      <c r="P203" s="3"/>
    </row>
    <row r="204" spans="1:16">
      <c r="A204" s="3" t="s">
        <v>51</v>
      </c>
      <c r="B204" s="4" t="s">
        <v>58</v>
      </c>
      <c r="C204" s="6" t="s">
        <v>49</v>
      </c>
      <c r="D204" s="6" t="s">
        <v>61</v>
      </c>
      <c r="E204" s="29">
        <v>1</v>
      </c>
      <c r="F204" s="11">
        <v>2.05959138828516</v>
      </c>
      <c r="G204" s="11">
        <v>0.317305555555556</v>
      </c>
      <c r="H204" s="11">
        <v>6.49087717572142</v>
      </c>
      <c r="I204" s="11">
        <v>-60.951566951567</v>
      </c>
      <c r="J204" s="11">
        <v>10.5938251201923</v>
      </c>
      <c r="K204" s="15">
        <v>0.96545584045584</v>
      </c>
      <c r="L204" s="15">
        <v>0.96545584045584</v>
      </c>
      <c r="M204" s="11">
        <v>-72.0058468188609</v>
      </c>
      <c r="N204" s="11">
        <v>7.7150820741695</v>
      </c>
      <c r="O204" s="15">
        <v>0.926315789473684</v>
      </c>
      <c r="P204" s="15">
        <v>0.926315789473684</v>
      </c>
    </row>
    <row r="205" spans="1:16">
      <c r="A205" s="3" t="s">
        <v>44</v>
      </c>
      <c r="B205" s="7" t="s">
        <v>60</v>
      </c>
      <c r="C205" s="4" t="s">
        <v>46</v>
      </c>
      <c r="D205" s="5" t="s">
        <v>47</v>
      </c>
      <c r="E205" s="29">
        <v>1</v>
      </c>
      <c r="F205" s="10"/>
      <c r="G205" s="10">
        <v>0.226</v>
      </c>
      <c r="H205" s="10"/>
      <c r="I205" s="10">
        <v>-60.8832807570978</v>
      </c>
      <c r="J205" s="10">
        <v>12.4940757097792</v>
      </c>
      <c r="K205" s="14">
        <v>1</v>
      </c>
      <c r="L205" s="14">
        <v>1</v>
      </c>
      <c r="M205" s="3"/>
      <c r="N205" s="3"/>
      <c r="O205" s="3"/>
      <c r="P205" s="3"/>
    </row>
    <row r="206" spans="1:16">
      <c r="A206" s="3" t="s">
        <v>44</v>
      </c>
      <c r="B206" s="3" t="s">
        <v>56</v>
      </c>
      <c r="C206" s="4" t="s">
        <v>46</v>
      </c>
      <c r="D206" s="5" t="s">
        <v>47</v>
      </c>
      <c r="E206" s="31">
        <v>1</v>
      </c>
      <c r="F206" s="10"/>
      <c r="G206" s="10">
        <v>0.226</v>
      </c>
      <c r="H206" s="10"/>
      <c r="I206" s="10">
        <v>-60.6163522012579</v>
      </c>
      <c r="J206" s="10">
        <v>14.3533176100629</v>
      </c>
      <c r="K206" s="14">
        <v>1</v>
      </c>
      <c r="L206" s="14">
        <v>1</v>
      </c>
      <c r="M206" s="3"/>
      <c r="N206" s="3"/>
      <c r="O206" s="3"/>
      <c r="P206" s="3"/>
    </row>
    <row r="207" spans="1:16">
      <c r="A207" s="3" t="s">
        <v>51</v>
      </c>
      <c r="B207" s="5" t="s">
        <v>63</v>
      </c>
      <c r="C207" s="5" t="s">
        <v>46</v>
      </c>
      <c r="D207" s="5" t="s">
        <v>57</v>
      </c>
      <c r="E207" s="29">
        <v>1</v>
      </c>
      <c r="F207" s="11" t="s">
        <v>54</v>
      </c>
      <c r="G207" s="11">
        <v>0.372252777777778</v>
      </c>
      <c r="H207" s="11" t="s">
        <v>54</v>
      </c>
      <c r="I207" s="11">
        <v>-60.4808726838016</v>
      </c>
      <c r="J207" s="11">
        <v>12.0676390653019</v>
      </c>
      <c r="K207" s="15">
        <v>1</v>
      </c>
      <c r="L207" s="15">
        <v>1</v>
      </c>
      <c r="M207" s="3"/>
      <c r="N207" s="3"/>
      <c r="O207" s="3"/>
      <c r="P207" s="3"/>
    </row>
    <row r="208" spans="1:16">
      <c r="A208" s="3" t="s">
        <v>44</v>
      </c>
      <c r="B208" s="3" t="s">
        <v>45</v>
      </c>
      <c r="C208" s="8" t="s">
        <v>49</v>
      </c>
      <c r="D208" s="5" t="s">
        <v>50</v>
      </c>
      <c r="E208" s="29">
        <v>1</v>
      </c>
      <c r="F208" s="10">
        <v>0.965</v>
      </c>
      <c r="G208" s="10">
        <v>0.215</v>
      </c>
      <c r="H208" s="10">
        <v>4.48837209302326</v>
      </c>
      <c r="I208" s="10">
        <v>-60.004854368932</v>
      </c>
      <c r="J208" s="10">
        <v>9.84468932038835</v>
      </c>
      <c r="K208" s="14">
        <v>0.951456310679612</v>
      </c>
      <c r="L208" s="14">
        <v>0.951456310679612</v>
      </c>
      <c r="M208" s="10">
        <v>-59.4945106382979</v>
      </c>
      <c r="N208" s="10">
        <v>9.98625531914894</v>
      </c>
      <c r="O208" s="14">
        <v>0.978723404255319</v>
      </c>
      <c r="P208" s="14">
        <v>0.978723404255319</v>
      </c>
    </row>
    <row r="209" spans="1:16">
      <c r="A209" s="3" t="s">
        <v>44</v>
      </c>
      <c r="B209" s="3" t="s">
        <v>45</v>
      </c>
      <c r="C209" s="4" t="s">
        <v>49</v>
      </c>
      <c r="D209" s="5" t="s">
        <v>50</v>
      </c>
      <c r="E209" s="29">
        <v>1</v>
      </c>
      <c r="F209" s="10">
        <v>2.577</v>
      </c>
      <c r="G209" s="10">
        <v>0.546</v>
      </c>
      <c r="H209" s="10">
        <v>4.71978021978022</v>
      </c>
      <c r="I209" s="10">
        <v>-59.8300132802125</v>
      </c>
      <c r="J209" s="10">
        <v>10.3298167330677</v>
      </c>
      <c r="K209" s="14">
        <v>0.9800796812749</v>
      </c>
      <c r="L209" s="14">
        <v>0.9800796812749</v>
      </c>
      <c r="M209" s="10">
        <v>-60.9916610169492</v>
      </c>
      <c r="N209" s="10">
        <v>10.0463644067797</v>
      </c>
      <c r="O209" s="14">
        <v>0.983050847457627</v>
      </c>
      <c r="P209" s="14">
        <v>0.983050847457627</v>
      </c>
    </row>
    <row r="210" spans="1:16">
      <c r="A210" s="3" t="s">
        <v>44</v>
      </c>
      <c r="B210" s="7" t="s">
        <v>60</v>
      </c>
      <c r="C210" s="4" t="s">
        <v>49</v>
      </c>
      <c r="D210" s="5" t="s">
        <v>50</v>
      </c>
      <c r="E210" s="31">
        <v>2</v>
      </c>
      <c r="F210" s="10">
        <v>2.608</v>
      </c>
      <c r="G210" s="10">
        <v>0.638</v>
      </c>
      <c r="H210" s="10">
        <v>4.08777429467085</v>
      </c>
      <c r="I210" s="10">
        <v>-59.3398392652124</v>
      </c>
      <c r="J210" s="10">
        <v>9.14938117106774</v>
      </c>
      <c r="K210" s="14">
        <v>0.988518943742824</v>
      </c>
      <c r="L210" s="14">
        <v>0.988518943742824</v>
      </c>
      <c r="M210" s="10">
        <v>-58.5707456140351</v>
      </c>
      <c r="N210" s="10">
        <v>9.19164035087719</v>
      </c>
      <c r="O210" s="14">
        <v>0.991228070175439</v>
      </c>
      <c r="P210" s="14">
        <v>0.991228070175439</v>
      </c>
    </row>
    <row r="211" spans="1:16">
      <c r="A211" s="3" t="s">
        <v>51</v>
      </c>
      <c r="B211" s="5" t="s">
        <v>63</v>
      </c>
      <c r="C211" s="5" t="s">
        <v>46</v>
      </c>
      <c r="D211" s="5" t="s">
        <v>53</v>
      </c>
      <c r="E211" s="33">
        <v>2</v>
      </c>
      <c r="F211" s="11" t="s">
        <v>54</v>
      </c>
      <c r="G211" s="11">
        <v>0.410833333333333</v>
      </c>
      <c r="H211" s="11" t="s">
        <v>54</v>
      </c>
      <c r="I211" s="11">
        <v>-57.9380411255411</v>
      </c>
      <c r="J211" s="11">
        <v>13.0614705932089</v>
      </c>
      <c r="K211" s="15">
        <v>1</v>
      </c>
      <c r="L211" s="15">
        <v>1</v>
      </c>
      <c r="M211" s="3"/>
      <c r="N211" s="3"/>
      <c r="O211" s="3"/>
      <c r="P211" s="3"/>
    </row>
    <row r="212" spans="1:16">
      <c r="A212" s="3" t="s">
        <v>51</v>
      </c>
      <c r="B212" s="5" t="s">
        <v>55</v>
      </c>
      <c r="C212" s="5" t="s">
        <v>46</v>
      </c>
      <c r="D212" s="5" t="s">
        <v>53</v>
      </c>
      <c r="E212" s="34">
        <v>2</v>
      </c>
      <c r="F212" s="11" t="s">
        <v>54</v>
      </c>
      <c r="G212" s="11">
        <v>0.377497222222222</v>
      </c>
      <c r="H212" s="11" t="s">
        <v>54</v>
      </c>
      <c r="I212" s="11">
        <v>-57.8123067863978</v>
      </c>
      <c r="J212" s="11">
        <v>8.02779515677904</v>
      </c>
      <c r="K212" s="15">
        <v>1</v>
      </c>
      <c r="L212" s="15">
        <v>1</v>
      </c>
      <c r="M212" s="11" t="s">
        <v>54</v>
      </c>
      <c r="N212" s="11" t="s">
        <v>54</v>
      </c>
      <c r="O212" s="15" t="s">
        <v>54</v>
      </c>
      <c r="P212" s="15" t="s">
        <v>54</v>
      </c>
    </row>
    <row r="213" spans="1:16">
      <c r="A213" s="3" t="s">
        <v>51</v>
      </c>
      <c r="B213" s="6" t="s">
        <v>55</v>
      </c>
      <c r="C213" s="6" t="s">
        <v>49</v>
      </c>
      <c r="D213" s="6" t="s">
        <v>50</v>
      </c>
      <c r="E213" s="30">
        <v>1</v>
      </c>
      <c r="F213" s="12">
        <v>1.83603561258316</v>
      </c>
      <c r="G213" s="12">
        <v>0.400166666666667</v>
      </c>
      <c r="H213" s="12">
        <v>4.58817729092002</v>
      </c>
      <c r="I213" s="12">
        <v>-56.3220220639575</v>
      </c>
      <c r="J213" s="12">
        <v>11.3687639645301</v>
      </c>
      <c r="K213" s="16">
        <v>0.996648512777545</v>
      </c>
      <c r="L213" s="16">
        <v>0.996648512777545</v>
      </c>
      <c r="M213" s="12">
        <v>-56.8430709325899</v>
      </c>
      <c r="N213" s="12">
        <v>11.2925916661093</v>
      </c>
      <c r="O213" s="16">
        <v>1</v>
      </c>
      <c r="P213" s="16">
        <v>1</v>
      </c>
    </row>
    <row r="214" spans="1:16">
      <c r="A214" s="3" t="s">
        <v>51</v>
      </c>
      <c r="B214" s="4" t="s">
        <v>58</v>
      </c>
      <c r="C214" s="6" t="s">
        <v>49</v>
      </c>
      <c r="D214" s="6" t="s">
        <v>50</v>
      </c>
      <c r="E214" s="31">
        <v>1</v>
      </c>
      <c r="F214" s="11">
        <v>5.37331341260672</v>
      </c>
      <c r="G214" s="11">
        <v>0.638491666666667</v>
      </c>
      <c r="H214" s="11">
        <v>8.41563593250768</v>
      </c>
      <c r="I214" s="11">
        <v>-56.1417392068935</v>
      </c>
      <c r="J214" s="11">
        <v>6.18268047129166</v>
      </c>
      <c r="K214" s="15">
        <v>0.900993581289018</v>
      </c>
      <c r="L214" s="15">
        <v>0.900993581289018</v>
      </c>
      <c r="M214" s="11">
        <v>-56.7645848130733</v>
      </c>
      <c r="N214" s="11">
        <v>5.74085971369367</v>
      </c>
      <c r="O214" s="15">
        <v>0.887387387387387</v>
      </c>
      <c r="P214" s="15">
        <v>0.887387387387387</v>
      </c>
    </row>
    <row r="215" spans="1:16">
      <c r="A215" s="3" t="s">
        <v>51</v>
      </c>
      <c r="B215" s="5" t="s">
        <v>63</v>
      </c>
      <c r="C215" s="6" t="s">
        <v>49</v>
      </c>
      <c r="D215" s="6" t="s">
        <v>50</v>
      </c>
      <c r="E215" s="29">
        <v>1</v>
      </c>
      <c r="F215" s="11">
        <v>2.02233774805069</v>
      </c>
      <c r="G215" s="11">
        <v>0.477027777777778</v>
      </c>
      <c r="H215" s="11">
        <v>4.23945489604756</v>
      </c>
      <c r="I215" s="11">
        <v>-54.8436406067678</v>
      </c>
      <c r="J215" s="11">
        <v>8.84317568553092</v>
      </c>
      <c r="K215" s="15">
        <v>0.958693115519253</v>
      </c>
      <c r="L215" s="15">
        <v>0.958693115519253</v>
      </c>
      <c r="M215" s="11">
        <v>-55.208144871156</v>
      </c>
      <c r="N215" s="11">
        <v>8.97038873624381</v>
      </c>
      <c r="O215" s="15">
        <v>0.968085106382979</v>
      </c>
      <c r="P215" s="15">
        <v>0.968085106382979</v>
      </c>
    </row>
    <row r="216" spans="1:16">
      <c r="A216" s="3" t="s">
        <v>44</v>
      </c>
      <c r="B216" s="3" t="s">
        <v>59</v>
      </c>
      <c r="C216" s="4" t="s">
        <v>46</v>
      </c>
      <c r="D216" s="5" t="s">
        <v>53</v>
      </c>
      <c r="E216" s="29">
        <v>1</v>
      </c>
      <c r="F216" s="10"/>
      <c r="G216" s="10">
        <v>0.226</v>
      </c>
      <c r="H216" s="10"/>
      <c r="I216" s="10">
        <v>-53.9685534591195</v>
      </c>
      <c r="J216" s="10">
        <v>14.8956823899371</v>
      </c>
      <c r="K216" s="14">
        <v>1</v>
      </c>
      <c r="L216" s="14">
        <v>1</v>
      </c>
      <c r="M216" s="3"/>
      <c r="N216" s="3"/>
      <c r="O216" s="3"/>
      <c r="P216" s="3"/>
    </row>
    <row r="217" spans="1:16">
      <c r="A217" s="3" t="s">
        <v>44</v>
      </c>
      <c r="B217" s="3" t="s">
        <v>45</v>
      </c>
      <c r="C217" s="4" t="s">
        <v>49</v>
      </c>
      <c r="D217" s="5" t="s">
        <v>50</v>
      </c>
      <c r="E217" s="31">
        <v>1</v>
      </c>
      <c r="F217" s="10">
        <v>2.794</v>
      </c>
      <c r="G217" s="10">
        <v>0.965</v>
      </c>
      <c r="H217" s="10">
        <v>2.89533678756477</v>
      </c>
      <c r="I217" s="10">
        <v>-53.8271513353116</v>
      </c>
      <c r="J217" s="10">
        <v>7.37710979228487</v>
      </c>
      <c r="K217" s="14">
        <v>0.98813056379822</v>
      </c>
      <c r="L217" s="14">
        <v>0.98813056379822</v>
      </c>
      <c r="M217" s="10">
        <v>-53.252</v>
      </c>
      <c r="N217" s="10">
        <v>8.54808130081301</v>
      </c>
      <c r="O217" s="14">
        <v>0.991869918699187</v>
      </c>
      <c r="P217" s="14">
        <v>0.991869918699187</v>
      </c>
    </row>
    <row r="218" spans="1:16">
      <c r="A218" s="3" t="s">
        <v>51</v>
      </c>
      <c r="B218" s="4" t="s">
        <v>62</v>
      </c>
      <c r="C218" s="4" t="s">
        <v>46</v>
      </c>
      <c r="D218" s="4" t="s">
        <v>53</v>
      </c>
      <c r="E218" s="29">
        <v>1</v>
      </c>
      <c r="F218" s="11" t="s">
        <v>54</v>
      </c>
      <c r="G218" s="11">
        <v>0.381944444444444</v>
      </c>
      <c r="H218" s="11" t="s">
        <v>54</v>
      </c>
      <c r="I218" s="11">
        <v>-53.5487911447713</v>
      </c>
      <c r="J218" s="11">
        <v>16.1622487620157</v>
      </c>
      <c r="K218" s="15">
        <v>1</v>
      </c>
      <c r="L218" s="15">
        <v>1</v>
      </c>
      <c r="M218" s="11" t="s">
        <v>54</v>
      </c>
      <c r="N218" s="11" t="s">
        <v>54</v>
      </c>
      <c r="O218" s="15" t="s">
        <v>54</v>
      </c>
      <c r="P218" s="15" t="s">
        <v>54</v>
      </c>
    </row>
    <row r="219" spans="1:16">
      <c r="A219" s="3" t="s">
        <v>44</v>
      </c>
      <c r="B219" s="3" t="s">
        <v>45</v>
      </c>
      <c r="C219" s="4" t="s">
        <v>46</v>
      </c>
      <c r="D219" s="5" t="s">
        <v>53</v>
      </c>
      <c r="E219" s="32">
        <v>2</v>
      </c>
      <c r="F219" s="10"/>
      <c r="G219" s="10">
        <v>0.226</v>
      </c>
      <c r="H219" s="10"/>
      <c r="I219" s="10">
        <v>-50.5196850393701</v>
      </c>
      <c r="J219" s="10">
        <v>15.2877606299213</v>
      </c>
      <c r="K219" s="14">
        <v>1</v>
      </c>
      <c r="L219" s="14">
        <v>1</v>
      </c>
      <c r="M219" s="3"/>
      <c r="N219" s="3"/>
      <c r="O219" s="3"/>
      <c r="P219" s="3"/>
    </row>
    <row r="220" spans="1:16">
      <c r="A220" s="3" t="s">
        <v>51</v>
      </c>
      <c r="B220" s="6" t="s">
        <v>55</v>
      </c>
      <c r="C220" s="6" t="s">
        <v>46</v>
      </c>
      <c r="D220" s="6" t="s">
        <v>47</v>
      </c>
      <c r="E220" s="31">
        <v>2</v>
      </c>
      <c r="F220" s="12" t="s">
        <v>54</v>
      </c>
      <c r="G220" s="12">
        <v>0.394916666666667</v>
      </c>
      <c r="H220" s="12" t="s">
        <v>54</v>
      </c>
      <c r="I220" s="12">
        <v>-50.2902408111534</v>
      </c>
      <c r="J220" s="12">
        <v>0.791690871004084</v>
      </c>
      <c r="K220" s="16">
        <v>0.952964371215322</v>
      </c>
      <c r="L220" s="16">
        <v>0.952964371215322</v>
      </c>
      <c r="M220" s="12" t="s">
        <v>54</v>
      </c>
      <c r="N220" s="12" t="s">
        <v>54</v>
      </c>
      <c r="O220" s="16" t="s">
        <v>54</v>
      </c>
      <c r="P220" s="16" t="s">
        <v>54</v>
      </c>
    </row>
    <row r="221" spans="1:16">
      <c r="A221" s="3" t="s">
        <v>51</v>
      </c>
      <c r="B221" s="4" t="s">
        <v>62</v>
      </c>
      <c r="C221" s="4" t="s">
        <v>46</v>
      </c>
      <c r="D221" s="4" t="s">
        <v>47</v>
      </c>
      <c r="E221" s="29">
        <v>3</v>
      </c>
      <c r="F221" s="11"/>
      <c r="G221" s="11">
        <v>0.378391666666667</v>
      </c>
      <c r="H221" s="11"/>
      <c r="I221" s="11">
        <v>-49.9723529411765</v>
      </c>
      <c r="J221" s="11">
        <v>14.0390280330882</v>
      </c>
      <c r="K221" s="15">
        <v>1</v>
      </c>
      <c r="L221" s="15">
        <v>1</v>
      </c>
      <c r="M221" s="11"/>
      <c r="N221" s="11"/>
      <c r="O221" s="15"/>
      <c r="P221" s="15"/>
    </row>
    <row r="222" spans="1:16">
      <c r="A222" s="3" t="s">
        <v>44</v>
      </c>
      <c r="B222" s="7" t="s">
        <v>60</v>
      </c>
      <c r="C222" s="4" t="s">
        <v>46</v>
      </c>
      <c r="D222" s="5" t="s">
        <v>53</v>
      </c>
      <c r="E222" s="29">
        <v>2</v>
      </c>
      <c r="F222" s="10"/>
      <c r="G222" s="10">
        <v>0.226</v>
      </c>
      <c r="H222" s="10"/>
      <c r="I222" s="10">
        <v>-49.7791798107256</v>
      </c>
      <c r="J222" s="10">
        <v>15.7227728706625</v>
      </c>
      <c r="K222" s="14">
        <v>1</v>
      </c>
      <c r="L222" s="14">
        <v>1</v>
      </c>
      <c r="M222" s="3"/>
      <c r="N222" s="3"/>
      <c r="O222" s="3"/>
      <c r="P222" s="3"/>
    </row>
    <row r="223" spans="1:16">
      <c r="A223" s="3" t="s">
        <v>44</v>
      </c>
      <c r="B223" s="3" t="s">
        <v>48</v>
      </c>
      <c r="C223" s="4" t="s">
        <v>46</v>
      </c>
      <c r="D223" s="5" t="s">
        <v>57</v>
      </c>
      <c r="E223" s="30">
        <v>1</v>
      </c>
      <c r="F223" s="10"/>
      <c r="G223" s="10">
        <v>0.226</v>
      </c>
      <c r="H223" s="10"/>
      <c r="I223" s="10">
        <v>-48.5094339622642</v>
      </c>
      <c r="J223" s="10">
        <v>15.8141163522013</v>
      </c>
      <c r="K223" s="14">
        <v>1</v>
      </c>
      <c r="L223" s="14">
        <v>1</v>
      </c>
      <c r="M223" s="3"/>
      <c r="N223" s="3"/>
      <c r="O223" s="3"/>
      <c r="P223" s="3"/>
    </row>
    <row r="224" spans="1:16">
      <c r="A224" s="3" t="s">
        <v>51</v>
      </c>
      <c r="B224" s="4" t="s">
        <v>58</v>
      </c>
      <c r="C224" s="5" t="s">
        <v>46</v>
      </c>
      <c r="D224" s="6" t="s">
        <v>65</v>
      </c>
      <c r="E224" s="30">
        <v>2</v>
      </c>
      <c r="F224" s="11" t="s">
        <v>54</v>
      </c>
      <c r="G224" s="11">
        <v>0.393972222222222</v>
      </c>
      <c r="H224" s="11" t="s">
        <v>54</v>
      </c>
      <c r="I224" s="11">
        <v>-47.7803810868031</v>
      </c>
      <c r="J224" s="11">
        <v>14.1269407198306</v>
      </c>
      <c r="K224" s="15">
        <v>1</v>
      </c>
      <c r="L224" s="15">
        <v>1</v>
      </c>
      <c r="M224" s="3"/>
      <c r="N224" s="3"/>
      <c r="O224" s="3"/>
      <c r="P224" s="3"/>
    </row>
    <row r="225" spans="1:16">
      <c r="A225" s="3" t="s">
        <v>51</v>
      </c>
      <c r="B225" s="4" t="s">
        <v>58</v>
      </c>
      <c r="C225" s="5" t="s">
        <v>46</v>
      </c>
      <c r="D225" s="6" t="s">
        <v>53</v>
      </c>
      <c r="E225" s="31">
        <v>1</v>
      </c>
      <c r="F225" s="11" t="s">
        <v>54</v>
      </c>
      <c r="G225" s="11">
        <v>0.393583333333333</v>
      </c>
      <c r="H225" s="11" t="s">
        <v>54</v>
      </c>
      <c r="I225" s="11">
        <v>-44.9623815584783</v>
      </c>
      <c r="J225" s="11">
        <v>15.8925761914864</v>
      </c>
      <c r="K225" s="15">
        <v>1</v>
      </c>
      <c r="L225" s="15">
        <v>1</v>
      </c>
      <c r="M225" s="3"/>
      <c r="N225" s="3"/>
      <c r="O225" s="3"/>
      <c r="P225" s="3"/>
    </row>
    <row r="226" spans="1:16">
      <c r="A226" s="3" t="s">
        <v>51</v>
      </c>
      <c r="B226" s="4" t="s">
        <v>62</v>
      </c>
      <c r="C226" s="4" t="s">
        <v>46</v>
      </c>
      <c r="D226" s="4" t="s">
        <v>47</v>
      </c>
      <c r="E226" s="34">
        <v>1</v>
      </c>
      <c r="F226" s="11"/>
      <c r="G226" s="11">
        <v>0.378722222222222</v>
      </c>
      <c r="H226" s="11"/>
      <c r="I226" s="11">
        <v>-43.6093405786459</v>
      </c>
      <c r="J226" s="11">
        <v>16.0690584153326</v>
      </c>
      <c r="K226" s="15">
        <v>1</v>
      </c>
      <c r="L226" s="15">
        <v>1</v>
      </c>
      <c r="M226" s="11"/>
      <c r="N226" s="11"/>
      <c r="O226" s="15"/>
      <c r="P226" s="15"/>
    </row>
    <row r="227" spans="1:16">
      <c r="A227" s="3" t="s">
        <v>51</v>
      </c>
      <c r="B227" s="6" t="s">
        <v>55</v>
      </c>
      <c r="C227" s="6" t="s">
        <v>46</v>
      </c>
      <c r="D227" s="6" t="s">
        <v>47</v>
      </c>
      <c r="E227" s="30">
        <v>1</v>
      </c>
      <c r="F227" s="12" t="s">
        <v>54</v>
      </c>
      <c r="G227" s="12">
        <v>0.39525</v>
      </c>
      <c r="H227" s="12" t="s">
        <v>54</v>
      </c>
      <c r="I227" s="12">
        <v>-42.8254325502884</v>
      </c>
      <c r="J227" s="12">
        <v>15.7031799479533</v>
      </c>
      <c r="K227" s="16">
        <v>1</v>
      </c>
      <c r="L227" s="16">
        <v>1</v>
      </c>
      <c r="M227" s="12" t="s">
        <v>54</v>
      </c>
      <c r="N227" s="12" t="s">
        <v>54</v>
      </c>
      <c r="O227" s="16" t="s">
        <v>54</v>
      </c>
      <c r="P227" s="16" t="s">
        <v>54</v>
      </c>
    </row>
    <row r="228" spans="1:16">
      <c r="A228" s="3" t="s">
        <v>44</v>
      </c>
      <c r="B228" s="3" t="s">
        <v>48</v>
      </c>
      <c r="C228" s="4" t="s">
        <v>46</v>
      </c>
      <c r="D228" s="5" t="s">
        <v>47</v>
      </c>
      <c r="E228" s="29">
        <v>3</v>
      </c>
      <c r="F228" s="10"/>
      <c r="G228" s="10">
        <v>0.226</v>
      </c>
      <c r="H228" s="10"/>
      <c r="I228" s="10"/>
      <c r="J228" s="10"/>
      <c r="K228" s="14"/>
      <c r="L228" s="14"/>
      <c r="M228" s="3"/>
      <c r="N228" s="3"/>
      <c r="O228" s="3"/>
      <c r="P228" s="3"/>
    </row>
    <row r="229" spans="1:16">
      <c r="A229" s="3" t="s">
        <v>44</v>
      </c>
      <c r="B229" s="3" t="s">
        <v>48</v>
      </c>
      <c r="C229" s="4" t="s">
        <v>46</v>
      </c>
      <c r="D229" s="5" t="s">
        <v>57</v>
      </c>
      <c r="E229" s="29">
        <v>3</v>
      </c>
      <c r="F229" s="10"/>
      <c r="G229" s="10">
        <v>0.226</v>
      </c>
      <c r="H229" s="10"/>
      <c r="I229" s="10"/>
      <c r="J229" s="10"/>
      <c r="K229" s="14"/>
      <c r="L229" s="14"/>
      <c r="M229" s="3"/>
      <c r="N229" s="3"/>
      <c r="O229" s="3"/>
      <c r="P229" s="3"/>
    </row>
  </sheetData>
  <autoFilter xmlns:etc="http://www.wps.cn/officeDocument/2017/etCustomData" ref="A1:P229" etc:filterBottomFollowUsedRange="0">
    <sortState ref="A1:P229">
      <sortCondition ref="I1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259"/>
  <sheetViews>
    <sheetView workbookViewId="0">
      <selection activeCell="H13" sqref="H13"/>
    </sheetView>
  </sheetViews>
  <sheetFormatPr defaultColWidth="8.72727272727273" defaultRowHeight="14"/>
  <sheetData>
    <row r="1" ht="26" spans="1:5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9" t="s">
        <v>5</v>
      </c>
      <c r="G1" s="9" t="s">
        <v>6</v>
      </c>
      <c r="H1" s="9" t="s">
        <v>7</v>
      </c>
      <c r="I1" s="9" t="s">
        <v>66</v>
      </c>
      <c r="J1" s="9" t="s">
        <v>67</v>
      </c>
      <c r="K1" s="13" t="s">
        <v>68</v>
      </c>
      <c r="L1" s="13" t="s">
        <v>69</v>
      </c>
      <c r="M1" s="13" t="s">
        <v>10</v>
      </c>
      <c r="N1" s="13" t="s">
        <v>11</v>
      </c>
      <c r="O1" s="13" t="s">
        <v>70</v>
      </c>
      <c r="P1" s="13" t="s">
        <v>71</v>
      </c>
      <c r="Q1" s="17" t="s">
        <v>12</v>
      </c>
      <c r="R1" s="17" t="s">
        <v>13</v>
      </c>
      <c r="S1" s="17" t="s">
        <v>14</v>
      </c>
      <c r="T1" s="17" t="s">
        <v>15</v>
      </c>
      <c r="U1" s="17" t="s">
        <v>16</v>
      </c>
      <c r="V1" s="17" t="s">
        <v>17</v>
      </c>
      <c r="W1" s="17" t="s">
        <v>18</v>
      </c>
      <c r="X1" s="21" t="s">
        <v>19</v>
      </c>
      <c r="Y1" s="21" t="s">
        <v>20</v>
      </c>
      <c r="Z1" s="21" t="s">
        <v>72</v>
      </c>
      <c r="AA1" s="21" t="s">
        <v>22</v>
      </c>
      <c r="AB1" s="21" t="s">
        <v>23</v>
      </c>
      <c r="AC1" s="21" t="s">
        <v>24</v>
      </c>
      <c r="AD1" s="21" t="s">
        <v>25</v>
      </c>
      <c r="AE1" s="13" t="s">
        <v>73</v>
      </c>
      <c r="AF1" s="13" t="s">
        <v>74</v>
      </c>
      <c r="AG1" s="13" t="s">
        <v>28</v>
      </c>
      <c r="AH1" s="13" t="s">
        <v>29</v>
      </c>
      <c r="AI1" s="13" t="s">
        <v>75</v>
      </c>
      <c r="AJ1" s="13" t="s">
        <v>76</v>
      </c>
      <c r="AK1" s="17" t="s">
        <v>30</v>
      </c>
      <c r="AL1" s="17" t="s">
        <v>31</v>
      </c>
      <c r="AM1" s="17" t="s">
        <v>32</v>
      </c>
      <c r="AN1" s="17" t="s">
        <v>33</v>
      </c>
      <c r="AO1" s="17" t="s">
        <v>34</v>
      </c>
      <c r="AP1" s="17" t="s">
        <v>35</v>
      </c>
      <c r="AQ1" s="17" t="s">
        <v>36</v>
      </c>
      <c r="AR1" s="21" t="s">
        <v>37</v>
      </c>
      <c r="AS1" s="21" t="s">
        <v>77</v>
      </c>
      <c r="AT1" s="21" t="s">
        <v>78</v>
      </c>
      <c r="AU1" s="21" t="s">
        <v>40</v>
      </c>
      <c r="AV1" s="21" t="s">
        <v>41</v>
      </c>
      <c r="AW1" s="21" t="s">
        <v>42</v>
      </c>
      <c r="AX1" s="21" t="s">
        <v>43</v>
      </c>
    </row>
    <row r="2" spans="1:50">
      <c r="A2" s="3" t="s">
        <v>44</v>
      </c>
      <c r="B2" s="3" t="s">
        <v>45</v>
      </c>
      <c r="C2" s="4" t="s">
        <v>46</v>
      </c>
      <c r="D2" s="5" t="s">
        <v>47</v>
      </c>
      <c r="E2" s="7">
        <v>3</v>
      </c>
      <c r="F2" s="10"/>
      <c r="G2" s="10">
        <v>0.242</v>
      </c>
      <c r="H2" s="10"/>
      <c r="I2" s="10">
        <v>0.10173589734</v>
      </c>
      <c r="J2" s="14">
        <v>0.42039627</v>
      </c>
      <c r="K2" s="10">
        <v>-107.408703150912</v>
      </c>
      <c r="L2" s="10">
        <v>3.82601437258154</v>
      </c>
      <c r="M2" s="14">
        <v>0.0567523743340283</v>
      </c>
      <c r="N2" s="14">
        <v>0.373639101227704</v>
      </c>
      <c r="O2" s="14">
        <v>0.135433941404091</v>
      </c>
      <c r="P2" s="14">
        <v>0.891652846876728</v>
      </c>
      <c r="Q2" s="10">
        <v>14.7453100775194</v>
      </c>
      <c r="R2" s="10">
        <v>19.684</v>
      </c>
      <c r="S2" s="14">
        <v>0.89922480620155</v>
      </c>
      <c r="T2" s="18">
        <v>10</v>
      </c>
      <c r="U2" s="18">
        <v>10</v>
      </c>
      <c r="V2" s="18">
        <v>0</v>
      </c>
      <c r="W2" s="14">
        <v>0</v>
      </c>
      <c r="X2" s="10">
        <v>3.185448</v>
      </c>
      <c r="Y2" s="10">
        <v>4.957</v>
      </c>
      <c r="Z2" s="14">
        <v>0.848</v>
      </c>
      <c r="AA2" s="18">
        <v>10</v>
      </c>
      <c r="AB2" s="18">
        <v>10</v>
      </c>
      <c r="AC2" s="18">
        <v>0</v>
      </c>
      <c r="AD2" s="14">
        <v>0</v>
      </c>
      <c r="AE2" s="10"/>
      <c r="AF2" s="10"/>
      <c r="AG2" s="14"/>
      <c r="AH2" s="14"/>
      <c r="AI2" s="14"/>
      <c r="AJ2" s="14"/>
      <c r="AK2" s="10"/>
      <c r="AL2" s="10"/>
      <c r="AM2" s="14"/>
      <c r="AN2" s="18"/>
      <c r="AO2" s="18"/>
      <c r="AP2" s="18"/>
      <c r="AQ2" s="14"/>
      <c r="AR2" s="10"/>
      <c r="AS2" s="10"/>
      <c r="AT2" s="14"/>
      <c r="AU2" s="18"/>
      <c r="AV2" s="18"/>
      <c r="AW2" s="18"/>
      <c r="AX2" s="14"/>
    </row>
    <row r="3" spans="1:50">
      <c r="A3" s="3" t="s">
        <v>44</v>
      </c>
      <c r="B3" s="3" t="s">
        <v>45</v>
      </c>
      <c r="C3" s="4" t="s">
        <v>46</v>
      </c>
      <c r="D3" s="5" t="s">
        <v>47</v>
      </c>
      <c r="E3" s="7">
        <v>2</v>
      </c>
      <c r="F3" s="10"/>
      <c r="G3" s="10">
        <v>0.242</v>
      </c>
      <c r="H3" s="10"/>
      <c r="I3" s="10">
        <v>0.23212985334</v>
      </c>
      <c r="J3" s="14">
        <v>0.95921427</v>
      </c>
      <c r="K3" s="10">
        <v>-105.212273686735</v>
      </c>
      <c r="L3" s="10">
        <v>5.43858263372511</v>
      </c>
      <c r="M3" s="14">
        <v>0.458986175115207</v>
      </c>
      <c r="N3" s="14">
        <v>0.947695852534562</v>
      </c>
      <c r="O3" s="14">
        <v>0.477812425041977</v>
      </c>
      <c r="P3" s="14">
        <v>0.986567522187575</v>
      </c>
      <c r="Q3" s="10">
        <v>16.228332155477</v>
      </c>
      <c r="R3" s="10">
        <v>21.255</v>
      </c>
      <c r="S3" s="14">
        <v>0.918727915194346</v>
      </c>
      <c r="T3" s="18">
        <v>10</v>
      </c>
      <c r="U3" s="18">
        <v>10</v>
      </c>
      <c r="V3" s="18">
        <v>0</v>
      </c>
      <c r="W3" s="14">
        <v>0</v>
      </c>
      <c r="X3" s="10">
        <v>3.2931875</v>
      </c>
      <c r="Y3" s="10">
        <v>5.243</v>
      </c>
      <c r="Z3" s="14">
        <v>0.851973684210526</v>
      </c>
      <c r="AA3" s="18">
        <v>10</v>
      </c>
      <c r="AB3" s="18">
        <v>10</v>
      </c>
      <c r="AC3" s="18">
        <v>0</v>
      </c>
      <c r="AD3" s="14">
        <v>0</v>
      </c>
      <c r="AE3" s="10"/>
      <c r="AF3" s="10"/>
      <c r="AG3" s="14"/>
      <c r="AH3" s="14"/>
      <c r="AI3" s="14"/>
      <c r="AJ3" s="14"/>
      <c r="AK3" s="10"/>
      <c r="AL3" s="10"/>
      <c r="AM3" s="14"/>
      <c r="AN3" s="18"/>
      <c r="AO3" s="18"/>
      <c r="AP3" s="18"/>
      <c r="AQ3" s="14"/>
      <c r="AR3" s="10"/>
      <c r="AS3" s="10"/>
      <c r="AT3" s="14"/>
      <c r="AU3" s="18"/>
      <c r="AV3" s="18"/>
      <c r="AW3" s="18"/>
      <c r="AX3" s="14"/>
    </row>
    <row r="4" spans="1:50">
      <c r="A4" s="3" t="s">
        <v>51</v>
      </c>
      <c r="B4" s="6" t="s">
        <v>52</v>
      </c>
      <c r="C4" s="6" t="s">
        <v>46</v>
      </c>
      <c r="D4" s="6" t="s">
        <v>53</v>
      </c>
      <c r="E4" s="4">
        <v>3</v>
      </c>
      <c r="F4" s="11" t="s">
        <v>54</v>
      </c>
      <c r="G4" s="11">
        <v>0.486277777777778</v>
      </c>
      <c r="H4" s="11" t="s">
        <v>54</v>
      </c>
      <c r="I4" s="11">
        <v>0.4412</v>
      </c>
      <c r="J4" s="15">
        <v>0.907300354164287</v>
      </c>
      <c r="K4" s="11">
        <v>-97.5362446182524</v>
      </c>
      <c r="L4" s="11">
        <v>-0.243143938938112</v>
      </c>
      <c r="M4" s="15">
        <v>0.620490286771508</v>
      </c>
      <c r="N4" s="15">
        <v>0.79209065679926</v>
      </c>
      <c r="O4" s="15">
        <v>0.68618925831202</v>
      </c>
      <c r="P4" s="15">
        <v>0.875959079283887</v>
      </c>
      <c r="Q4" s="11">
        <v>4.55184961812298</v>
      </c>
      <c r="R4" s="11">
        <v>13.1062</v>
      </c>
      <c r="S4" s="15">
        <v>0.177993527508091</v>
      </c>
      <c r="T4" s="19">
        <v>10</v>
      </c>
      <c r="U4" s="19">
        <v>10</v>
      </c>
      <c r="V4" s="19">
        <v>0</v>
      </c>
      <c r="W4" s="15">
        <v>0</v>
      </c>
      <c r="X4" s="11">
        <v>5.35591983277592</v>
      </c>
      <c r="Y4" s="11">
        <v>10.56</v>
      </c>
      <c r="Z4" s="15">
        <v>0.765886287625418</v>
      </c>
      <c r="AA4" s="19">
        <v>10</v>
      </c>
      <c r="AB4" s="19">
        <v>10</v>
      </c>
      <c r="AC4" s="19">
        <v>0</v>
      </c>
      <c r="AD4" s="15">
        <v>0</v>
      </c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</row>
    <row r="5" spans="1:50">
      <c r="A5" s="3" t="s">
        <v>51</v>
      </c>
      <c r="B5" s="6" t="s">
        <v>52</v>
      </c>
      <c r="C5" s="6" t="s">
        <v>46</v>
      </c>
      <c r="D5" s="6" t="s">
        <v>53</v>
      </c>
      <c r="E5" s="4">
        <v>2</v>
      </c>
      <c r="F5" s="11" t="s">
        <v>54</v>
      </c>
      <c r="G5" s="11">
        <v>0.441527777777778</v>
      </c>
      <c r="H5" s="11" t="s">
        <v>54</v>
      </c>
      <c r="I5" s="11">
        <v>0.441502777777778</v>
      </c>
      <c r="J5" s="15">
        <v>0.999943378420887</v>
      </c>
      <c r="K5" s="11">
        <v>-97.3753760901611</v>
      </c>
      <c r="L5" s="11">
        <v>6.68312684790193</v>
      </c>
      <c r="M5" s="15">
        <v>0.994321766561514</v>
      </c>
      <c r="N5" s="15">
        <v>1</v>
      </c>
      <c r="O5" s="15">
        <v>0.994321766561514</v>
      </c>
      <c r="P5" s="15">
        <v>1</v>
      </c>
      <c r="Q5" s="11">
        <v>4.23361728</v>
      </c>
      <c r="R5" s="11">
        <v>5.71661</v>
      </c>
      <c r="S5" s="15">
        <v>0</v>
      </c>
      <c r="T5" s="19">
        <v>10</v>
      </c>
      <c r="U5" s="19">
        <v>10</v>
      </c>
      <c r="V5" s="19">
        <v>0</v>
      </c>
      <c r="W5" s="15">
        <v>0</v>
      </c>
      <c r="X5" s="11">
        <v>3.98868660666667</v>
      </c>
      <c r="Y5" s="11">
        <v>6.07393</v>
      </c>
      <c r="Z5" s="15">
        <v>0.833333333333333</v>
      </c>
      <c r="AA5" s="19">
        <v>10</v>
      </c>
      <c r="AB5" s="19">
        <v>10</v>
      </c>
      <c r="AC5" s="19">
        <v>0</v>
      </c>
      <c r="AD5" s="15">
        <v>0</v>
      </c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</row>
    <row r="6" spans="1:50">
      <c r="A6" s="3" t="s">
        <v>51</v>
      </c>
      <c r="B6" s="4" t="s">
        <v>58</v>
      </c>
      <c r="C6" s="5" t="s">
        <v>46</v>
      </c>
      <c r="D6" s="6" t="s">
        <v>53</v>
      </c>
      <c r="E6" s="4">
        <v>2</v>
      </c>
      <c r="F6" s="11" t="s">
        <v>54</v>
      </c>
      <c r="G6" s="11">
        <v>0.402058333333333</v>
      </c>
      <c r="H6" s="11" t="s">
        <v>54</v>
      </c>
      <c r="I6" s="11">
        <v>0.370691666666667</v>
      </c>
      <c r="J6" s="15">
        <v>0.921984786618857</v>
      </c>
      <c r="K6" s="11">
        <v>-96.5334739008978</v>
      </c>
      <c r="L6" s="11">
        <v>6.26571427100722</v>
      </c>
      <c r="M6" s="15">
        <v>0.894321329639889</v>
      </c>
      <c r="N6" s="15">
        <v>0.904293628808864</v>
      </c>
      <c r="O6" s="15">
        <v>0.969810753980174</v>
      </c>
      <c r="P6" s="15">
        <v>0.980624812255933</v>
      </c>
      <c r="Q6" s="11">
        <v>26.5930071666667</v>
      </c>
      <c r="R6" s="11">
        <v>34.3402</v>
      </c>
      <c r="S6" s="15">
        <v>0.896666666666667</v>
      </c>
      <c r="T6" s="19">
        <v>10</v>
      </c>
      <c r="U6" s="19">
        <v>10</v>
      </c>
      <c r="V6" s="19">
        <v>0</v>
      </c>
      <c r="W6" s="15">
        <v>0</v>
      </c>
      <c r="X6" s="11">
        <v>16.61958628</v>
      </c>
      <c r="Y6" s="11">
        <v>19.8202</v>
      </c>
      <c r="Z6" s="15">
        <v>0.97</v>
      </c>
      <c r="AA6" s="19">
        <v>10</v>
      </c>
      <c r="AB6" s="19">
        <v>10</v>
      </c>
      <c r="AC6" s="19">
        <v>0</v>
      </c>
      <c r="AD6" s="15">
        <v>0</v>
      </c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</row>
    <row r="7" spans="1:50">
      <c r="A7" s="3" t="s">
        <v>51</v>
      </c>
      <c r="B7" s="6" t="s">
        <v>52</v>
      </c>
      <c r="C7" s="6" t="s">
        <v>46</v>
      </c>
      <c r="D7" s="6" t="s">
        <v>53</v>
      </c>
      <c r="E7" s="4">
        <v>3</v>
      </c>
      <c r="F7" s="11" t="s">
        <v>54</v>
      </c>
      <c r="G7" s="11">
        <v>0.441697222222222</v>
      </c>
      <c r="H7" s="11" t="s">
        <v>54</v>
      </c>
      <c r="I7" s="11">
        <v>0.376777777777778</v>
      </c>
      <c r="J7" s="15">
        <v>0.853022746853991</v>
      </c>
      <c r="K7" s="11">
        <v>-96.2739137173687</v>
      </c>
      <c r="L7" s="11">
        <v>6.14393286860004</v>
      </c>
      <c r="M7" s="15">
        <v>0.8444360333081</v>
      </c>
      <c r="N7" s="15">
        <v>0.8444360333081</v>
      </c>
      <c r="O7" s="15">
        <v>0.990381769754365</v>
      </c>
      <c r="P7" s="15">
        <v>0.990381769754365</v>
      </c>
      <c r="Q7" s="11">
        <v>7.50781609333333</v>
      </c>
      <c r="R7" s="11">
        <v>20.6447</v>
      </c>
      <c r="S7" s="15">
        <v>0.226666666666667</v>
      </c>
      <c r="T7" s="19">
        <v>10</v>
      </c>
      <c r="U7" s="19">
        <v>10</v>
      </c>
      <c r="V7" s="19">
        <v>0</v>
      </c>
      <c r="W7" s="15">
        <v>0</v>
      </c>
      <c r="X7" s="11">
        <v>4.59625506666667</v>
      </c>
      <c r="Y7" s="11">
        <v>9.89033</v>
      </c>
      <c r="Z7" s="15">
        <v>0.736666666666667</v>
      </c>
      <c r="AA7" s="19">
        <v>10</v>
      </c>
      <c r="AB7" s="19">
        <v>10</v>
      </c>
      <c r="AC7" s="19">
        <v>0</v>
      </c>
      <c r="AD7" s="15">
        <v>0</v>
      </c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</row>
    <row r="8" spans="1:50">
      <c r="A8" s="3" t="s">
        <v>44</v>
      </c>
      <c r="B8" s="3" t="s">
        <v>59</v>
      </c>
      <c r="C8" s="4" t="s">
        <v>46</v>
      </c>
      <c r="D8" s="5" t="s">
        <v>47</v>
      </c>
      <c r="E8" s="7">
        <v>3</v>
      </c>
      <c r="F8" s="10"/>
      <c r="G8" s="10">
        <v>0.241</v>
      </c>
      <c r="H8" s="10"/>
      <c r="I8" s="10">
        <v>0.241</v>
      </c>
      <c r="J8" s="14">
        <v>1</v>
      </c>
      <c r="K8" s="10">
        <v>-93.4732558635394</v>
      </c>
      <c r="L8" s="10">
        <v>3.07470682302772</v>
      </c>
      <c r="M8" s="14">
        <v>0.993869936034115</v>
      </c>
      <c r="N8" s="14">
        <v>0.993869936034115</v>
      </c>
      <c r="O8" s="14">
        <v>0.993869936034115</v>
      </c>
      <c r="P8" s="14">
        <v>0.993869936034115</v>
      </c>
      <c r="Q8" s="10">
        <v>8.58690789473684</v>
      </c>
      <c r="R8" s="10">
        <v>13.814</v>
      </c>
      <c r="S8" s="14">
        <v>0.236842105263158</v>
      </c>
      <c r="T8" s="18">
        <v>10</v>
      </c>
      <c r="U8" s="18">
        <v>10</v>
      </c>
      <c r="V8" s="18">
        <v>0</v>
      </c>
      <c r="W8" s="14">
        <v>0</v>
      </c>
      <c r="X8" s="10">
        <v>24.41929</v>
      </c>
      <c r="Y8" s="10">
        <v>44.459</v>
      </c>
      <c r="Z8" s="14">
        <v>0.993333333333333</v>
      </c>
      <c r="AA8" s="18">
        <v>10</v>
      </c>
      <c r="AB8" s="18">
        <v>10</v>
      </c>
      <c r="AC8" s="18">
        <v>0</v>
      </c>
      <c r="AD8" s="14">
        <v>0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</row>
    <row r="9" spans="1:50">
      <c r="A9" s="3" t="s">
        <v>51</v>
      </c>
      <c r="B9" s="6" t="s">
        <v>52</v>
      </c>
      <c r="C9" s="6" t="s">
        <v>46</v>
      </c>
      <c r="D9" s="6" t="s">
        <v>53</v>
      </c>
      <c r="E9" s="4">
        <v>2</v>
      </c>
      <c r="F9" s="11" t="s">
        <v>54</v>
      </c>
      <c r="G9" s="11">
        <v>0.486094444444444</v>
      </c>
      <c r="H9" s="11" t="s">
        <v>54</v>
      </c>
      <c r="I9" s="11">
        <v>0.486066666666667</v>
      </c>
      <c r="J9" s="15">
        <v>0.999942855183606</v>
      </c>
      <c r="K9" s="11">
        <v>-93.4254894565111</v>
      </c>
      <c r="L9" s="11">
        <v>0.582275789586017</v>
      </c>
      <c r="M9" s="15">
        <v>0.961339910519674</v>
      </c>
      <c r="N9" s="15">
        <v>0.962142939084547</v>
      </c>
      <c r="O9" s="15">
        <v>0.961339910519674</v>
      </c>
      <c r="P9" s="15">
        <v>0.962142939084547</v>
      </c>
      <c r="Q9" s="11">
        <v>7.60715453666667</v>
      </c>
      <c r="R9" s="11">
        <v>15.2625</v>
      </c>
      <c r="S9" s="15">
        <v>0.453333333333333</v>
      </c>
      <c r="T9" s="19">
        <v>10</v>
      </c>
      <c r="U9" s="19">
        <v>10</v>
      </c>
      <c r="V9" s="19">
        <v>0</v>
      </c>
      <c r="W9" s="15">
        <v>0</v>
      </c>
      <c r="X9" s="11">
        <v>6.33272975333333</v>
      </c>
      <c r="Y9" s="11">
        <v>8.95105</v>
      </c>
      <c r="Z9" s="15">
        <v>0.97</v>
      </c>
      <c r="AA9" s="19">
        <v>10</v>
      </c>
      <c r="AB9" s="19">
        <v>10</v>
      </c>
      <c r="AC9" s="19">
        <v>0</v>
      </c>
      <c r="AD9" s="15">
        <v>0</v>
      </c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</row>
    <row r="10" spans="1:50">
      <c r="A10" s="3" t="s">
        <v>51</v>
      </c>
      <c r="B10" s="4" t="s">
        <v>58</v>
      </c>
      <c r="C10" s="5" t="s">
        <v>46</v>
      </c>
      <c r="D10" s="6" t="s">
        <v>47</v>
      </c>
      <c r="E10" s="4">
        <v>3</v>
      </c>
      <c r="F10" s="11" t="s">
        <v>54</v>
      </c>
      <c r="G10" s="11">
        <v>0.397738888888889</v>
      </c>
      <c r="H10" s="11" t="s">
        <v>54</v>
      </c>
      <c r="I10" s="11">
        <v>0.397711111111111</v>
      </c>
      <c r="J10" s="15">
        <v>0.999930160769908</v>
      </c>
      <c r="K10" s="11">
        <v>-93.14867806982</v>
      </c>
      <c r="L10" s="11">
        <v>8.62354020416018</v>
      </c>
      <c r="M10" s="15">
        <v>0.999709386806161</v>
      </c>
      <c r="N10" s="15">
        <v>1</v>
      </c>
      <c r="O10" s="15">
        <v>0.999709386806161</v>
      </c>
      <c r="P10" s="15">
        <v>1</v>
      </c>
      <c r="Q10" s="11">
        <v>1.87220233666667</v>
      </c>
      <c r="R10" s="11">
        <v>5.06736</v>
      </c>
      <c r="S10" s="15">
        <v>0.00666666666666667</v>
      </c>
      <c r="T10" s="19">
        <v>10</v>
      </c>
      <c r="U10" s="19">
        <v>10</v>
      </c>
      <c r="V10" s="19">
        <v>0</v>
      </c>
      <c r="W10" s="15">
        <v>0</v>
      </c>
      <c r="X10" s="11">
        <v>1.35376215333333</v>
      </c>
      <c r="Y10" s="11">
        <v>3.51297</v>
      </c>
      <c r="Z10" s="15">
        <v>0.18</v>
      </c>
      <c r="AA10" s="19">
        <v>10</v>
      </c>
      <c r="AB10" s="19">
        <v>10</v>
      </c>
      <c r="AC10" s="19">
        <v>0</v>
      </c>
      <c r="AD10" s="15">
        <v>0</v>
      </c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</row>
    <row r="11" spans="1:50">
      <c r="A11" s="3" t="s">
        <v>51</v>
      </c>
      <c r="B11" s="4" t="s">
        <v>58</v>
      </c>
      <c r="C11" s="5" t="s">
        <v>46</v>
      </c>
      <c r="D11" s="6" t="s">
        <v>53</v>
      </c>
      <c r="E11" s="4">
        <v>3</v>
      </c>
      <c r="F11" s="11" t="s">
        <v>54</v>
      </c>
      <c r="G11" s="11">
        <v>0.402252777777778</v>
      </c>
      <c r="H11" s="11" t="s">
        <v>54</v>
      </c>
      <c r="I11" s="11">
        <v>0.383725</v>
      </c>
      <c r="J11" s="15">
        <v>0.953939963124348</v>
      </c>
      <c r="K11" s="11">
        <v>-93.0593335585211</v>
      </c>
      <c r="L11" s="11">
        <v>8.39296322212232</v>
      </c>
      <c r="M11" s="15">
        <v>0.935680621014694</v>
      </c>
      <c r="N11" s="15">
        <v>0.937898530634877</v>
      </c>
      <c r="O11" s="15">
        <v>0.980677030364667</v>
      </c>
      <c r="P11" s="15">
        <v>0.983001598140346</v>
      </c>
      <c r="Q11" s="11">
        <v>19.2523174766667</v>
      </c>
      <c r="R11" s="11">
        <v>29.3036</v>
      </c>
      <c r="S11" s="15">
        <v>0.883333333333333</v>
      </c>
      <c r="T11" s="19">
        <v>10</v>
      </c>
      <c r="U11" s="19">
        <v>10</v>
      </c>
      <c r="V11" s="19">
        <v>0</v>
      </c>
      <c r="W11" s="15">
        <v>0</v>
      </c>
      <c r="X11" s="11">
        <v>18.68311022</v>
      </c>
      <c r="Y11" s="11">
        <v>32.2256</v>
      </c>
      <c r="Z11" s="15">
        <v>0.956666666666667</v>
      </c>
      <c r="AA11" s="19">
        <v>10</v>
      </c>
      <c r="AB11" s="19">
        <v>10</v>
      </c>
      <c r="AC11" s="19">
        <v>0</v>
      </c>
      <c r="AD11" s="15">
        <v>0</v>
      </c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</row>
    <row r="12" spans="1:50">
      <c r="A12" s="3" t="s">
        <v>51</v>
      </c>
      <c r="B12" s="5" t="s">
        <v>63</v>
      </c>
      <c r="C12" s="5" t="s">
        <v>46</v>
      </c>
      <c r="D12" s="5" t="s">
        <v>47</v>
      </c>
      <c r="E12" s="5">
        <v>2</v>
      </c>
      <c r="F12" s="11" t="s">
        <v>54</v>
      </c>
      <c r="G12" s="11">
        <v>0.383863888888889</v>
      </c>
      <c r="H12" s="11" t="s">
        <v>54</v>
      </c>
      <c r="I12" s="11">
        <v>0.383836111111111</v>
      </c>
      <c r="J12" s="15">
        <v>0.999927636387319</v>
      </c>
      <c r="K12" s="11">
        <v>-93.0043145582905</v>
      </c>
      <c r="L12" s="11">
        <v>12.0003414169084</v>
      </c>
      <c r="M12" s="15">
        <v>0.985714285714286</v>
      </c>
      <c r="N12" s="15">
        <v>0.995481049562682</v>
      </c>
      <c r="O12" s="15">
        <v>0.985714285714286</v>
      </c>
      <c r="P12" s="15">
        <v>0.995481049562682</v>
      </c>
      <c r="Q12" s="11">
        <v>17.92465486</v>
      </c>
      <c r="R12" s="11">
        <v>26.4776</v>
      </c>
      <c r="S12" s="15">
        <v>0.853333333333333</v>
      </c>
      <c r="T12" s="19">
        <v>10</v>
      </c>
      <c r="U12" s="19">
        <v>10</v>
      </c>
      <c r="V12" s="19">
        <v>0</v>
      </c>
      <c r="W12" s="15">
        <v>0</v>
      </c>
      <c r="X12" s="11">
        <v>7.84553296333333</v>
      </c>
      <c r="Y12" s="11">
        <v>9.36428</v>
      </c>
      <c r="Z12" s="15">
        <v>1</v>
      </c>
      <c r="AA12" s="19">
        <v>10</v>
      </c>
      <c r="AB12" s="19">
        <v>10</v>
      </c>
      <c r="AC12" s="19">
        <v>0</v>
      </c>
      <c r="AD12" s="15">
        <v>0</v>
      </c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</row>
    <row r="13" spans="1:50">
      <c r="A13" s="3" t="s">
        <v>51</v>
      </c>
      <c r="B13" s="6" t="s">
        <v>52</v>
      </c>
      <c r="C13" s="6" t="s">
        <v>46</v>
      </c>
      <c r="D13" s="6" t="s">
        <v>57</v>
      </c>
      <c r="E13" s="4">
        <v>3</v>
      </c>
      <c r="F13" s="11" t="s">
        <v>54</v>
      </c>
      <c r="G13" s="11">
        <v>0.436125</v>
      </c>
      <c r="H13" s="11" t="s">
        <v>54</v>
      </c>
      <c r="I13" s="11">
        <v>0.433488888888889</v>
      </c>
      <c r="J13" s="15">
        <v>0.993955606509347</v>
      </c>
      <c r="K13" s="11">
        <v>-92.9427567252135</v>
      </c>
      <c r="L13" s="11">
        <v>2.77081409852779</v>
      </c>
      <c r="M13" s="15">
        <v>0.894776972931758</v>
      </c>
      <c r="N13" s="15">
        <v>0.928072181979921</v>
      </c>
      <c r="O13" s="15">
        <v>0.902692307692308</v>
      </c>
      <c r="P13" s="15">
        <v>0.936282051282051</v>
      </c>
      <c r="Q13" s="11">
        <v>6.66825200666667</v>
      </c>
      <c r="R13" s="11">
        <v>11.3903</v>
      </c>
      <c r="S13" s="15">
        <v>0.216666666666667</v>
      </c>
      <c r="T13" s="19">
        <v>10</v>
      </c>
      <c r="U13" s="19">
        <v>10</v>
      </c>
      <c r="V13" s="19">
        <v>0</v>
      </c>
      <c r="W13" s="15">
        <v>0</v>
      </c>
      <c r="X13" s="11">
        <v>5.07929425666667</v>
      </c>
      <c r="Y13" s="11">
        <v>8.70091</v>
      </c>
      <c r="Z13" s="15">
        <v>0.79</v>
      </c>
      <c r="AA13" s="19">
        <v>10</v>
      </c>
      <c r="AB13" s="19">
        <v>10</v>
      </c>
      <c r="AC13" s="19">
        <v>0</v>
      </c>
      <c r="AD13" s="15">
        <v>0</v>
      </c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</row>
    <row r="14" spans="1:50">
      <c r="A14" s="3" t="s">
        <v>44</v>
      </c>
      <c r="B14" s="7" t="s">
        <v>60</v>
      </c>
      <c r="C14" s="4" t="s">
        <v>49</v>
      </c>
      <c r="D14" s="5" t="s">
        <v>50</v>
      </c>
      <c r="E14" s="7">
        <v>3</v>
      </c>
      <c r="F14" s="10">
        <v>3.814</v>
      </c>
      <c r="G14" s="10">
        <v>0.408</v>
      </c>
      <c r="H14" s="10">
        <v>9.34803921568628</v>
      </c>
      <c r="I14" s="10">
        <v>0.3744928776</v>
      </c>
      <c r="J14" s="14">
        <v>0.9178747</v>
      </c>
      <c r="K14" s="10">
        <v>-92.2131332751092</v>
      </c>
      <c r="L14" s="10">
        <v>1.48655737991266</v>
      </c>
      <c r="M14" s="14">
        <v>0.7125</v>
      </c>
      <c r="N14" s="14">
        <v>0.712816455696203</v>
      </c>
      <c r="O14" s="14">
        <v>0.786550218340611</v>
      </c>
      <c r="P14" s="14">
        <v>0.786899563318777</v>
      </c>
      <c r="Q14" s="10">
        <v>13.717271070615</v>
      </c>
      <c r="R14" s="10">
        <v>37.679</v>
      </c>
      <c r="S14" s="14">
        <v>0.432801822323462</v>
      </c>
      <c r="T14" s="18">
        <v>16</v>
      </c>
      <c r="U14" s="18">
        <v>16</v>
      </c>
      <c r="V14" s="18">
        <v>0</v>
      </c>
      <c r="W14" s="14">
        <v>0</v>
      </c>
      <c r="X14" s="10">
        <v>7.69751769911504</v>
      </c>
      <c r="Y14" s="10">
        <v>20.15</v>
      </c>
      <c r="Z14" s="14">
        <v>0.816371681415929</v>
      </c>
      <c r="AA14" s="18">
        <v>16</v>
      </c>
      <c r="AB14" s="18">
        <v>16</v>
      </c>
      <c r="AC14" s="18">
        <v>0</v>
      </c>
      <c r="AD14" s="14">
        <v>0</v>
      </c>
      <c r="AE14" s="10">
        <v>-91.9141219512195</v>
      </c>
      <c r="AF14" s="10">
        <v>1.5582</v>
      </c>
      <c r="AG14" s="14">
        <v>0.684873949579832</v>
      </c>
      <c r="AH14" s="14">
        <v>0.684873949579832</v>
      </c>
      <c r="AI14" s="14">
        <v>0.795121951219512</v>
      </c>
      <c r="AJ14" s="14">
        <v>0.795121951219512</v>
      </c>
      <c r="AK14" s="10">
        <v>17.1539090909091</v>
      </c>
      <c r="AL14" s="10">
        <v>40.7</v>
      </c>
      <c r="AM14" s="14">
        <v>0.53030303030303</v>
      </c>
      <c r="AN14" s="18">
        <v>16</v>
      </c>
      <c r="AO14" s="18">
        <v>16</v>
      </c>
      <c r="AP14" s="18">
        <v>0</v>
      </c>
      <c r="AQ14" s="14">
        <v>0</v>
      </c>
      <c r="AR14" s="10">
        <v>7.00023376623377</v>
      </c>
      <c r="AS14" s="10">
        <v>13.096</v>
      </c>
      <c r="AT14" s="14">
        <v>0.844155844155844</v>
      </c>
      <c r="AU14" s="18">
        <v>16</v>
      </c>
      <c r="AV14" s="18">
        <v>16</v>
      </c>
      <c r="AW14" s="18">
        <v>0</v>
      </c>
      <c r="AX14" s="14">
        <v>0</v>
      </c>
    </row>
    <row r="15" spans="1:50">
      <c r="A15" s="3" t="s">
        <v>51</v>
      </c>
      <c r="B15" s="4" t="s">
        <v>58</v>
      </c>
      <c r="C15" s="5" t="s">
        <v>46</v>
      </c>
      <c r="D15" s="6" t="s">
        <v>47</v>
      </c>
      <c r="E15" s="4">
        <v>2</v>
      </c>
      <c r="F15" s="11" t="s">
        <v>54</v>
      </c>
      <c r="G15" s="11">
        <v>0.397561111111111</v>
      </c>
      <c r="H15" s="11" t="s">
        <v>54</v>
      </c>
      <c r="I15" s="11">
        <v>0.397536111111111</v>
      </c>
      <c r="J15" s="15">
        <v>0.99993711658585</v>
      </c>
      <c r="K15" s="11">
        <v>-91.4758685760093</v>
      </c>
      <c r="L15" s="11">
        <v>13.0534076330696</v>
      </c>
      <c r="M15" s="15">
        <v>1</v>
      </c>
      <c r="N15" s="15">
        <v>1</v>
      </c>
      <c r="O15" s="15">
        <v>1</v>
      </c>
      <c r="P15" s="15">
        <v>1</v>
      </c>
      <c r="Q15" s="11">
        <v>43.8893216433333</v>
      </c>
      <c r="R15" s="11">
        <v>51.4643</v>
      </c>
      <c r="S15" s="15">
        <v>1</v>
      </c>
      <c r="T15" s="19">
        <v>10</v>
      </c>
      <c r="U15" s="19">
        <v>10</v>
      </c>
      <c r="V15" s="19">
        <v>0</v>
      </c>
      <c r="W15" s="15">
        <v>0</v>
      </c>
      <c r="X15" s="11">
        <v>4.2662672</v>
      </c>
      <c r="Y15" s="11">
        <v>6.70659</v>
      </c>
      <c r="Z15" s="15">
        <v>0.883333333333333</v>
      </c>
      <c r="AA15" s="19">
        <v>10</v>
      </c>
      <c r="AB15" s="19">
        <v>10</v>
      </c>
      <c r="AC15" s="19">
        <v>0</v>
      </c>
      <c r="AD15" s="15">
        <v>0</v>
      </c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</row>
    <row r="16" spans="1:50">
      <c r="A16" s="3" t="s">
        <v>51</v>
      </c>
      <c r="B16" s="6" t="s">
        <v>52</v>
      </c>
      <c r="C16" s="6" t="s">
        <v>46</v>
      </c>
      <c r="D16" s="6" t="s">
        <v>57</v>
      </c>
      <c r="E16" s="4">
        <v>2</v>
      </c>
      <c r="F16" s="11" t="s">
        <v>54</v>
      </c>
      <c r="G16" s="11">
        <v>0.435955555555556</v>
      </c>
      <c r="H16" s="11" t="s">
        <v>54</v>
      </c>
      <c r="I16" s="11">
        <v>0.435925</v>
      </c>
      <c r="J16" s="15">
        <v>0.999929911305943</v>
      </c>
      <c r="K16" s="11">
        <v>-91.400936822502</v>
      </c>
      <c r="L16" s="11">
        <v>2.94051052684267</v>
      </c>
      <c r="M16" s="15">
        <v>0.989668367346939</v>
      </c>
      <c r="N16" s="15">
        <v>0.989668367346939</v>
      </c>
      <c r="O16" s="15">
        <v>0.989668367346939</v>
      </c>
      <c r="P16" s="15">
        <v>0.989668367346939</v>
      </c>
      <c r="Q16" s="11">
        <v>7.69807719</v>
      </c>
      <c r="R16" s="11">
        <v>10.6836</v>
      </c>
      <c r="S16" s="15">
        <v>0.173333333333333</v>
      </c>
      <c r="T16" s="19">
        <v>10</v>
      </c>
      <c r="U16" s="19">
        <v>10</v>
      </c>
      <c r="V16" s="19">
        <v>0</v>
      </c>
      <c r="W16" s="15">
        <v>0</v>
      </c>
      <c r="X16" s="11">
        <v>5.24557166333333</v>
      </c>
      <c r="Y16" s="11">
        <v>7.38215</v>
      </c>
      <c r="Z16" s="15">
        <v>0.983333333333333</v>
      </c>
      <c r="AA16" s="19">
        <v>10</v>
      </c>
      <c r="AB16" s="19">
        <v>10</v>
      </c>
      <c r="AC16" s="19">
        <v>0</v>
      </c>
      <c r="AD16" s="15">
        <v>0</v>
      </c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</row>
    <row r="17" spans="1:50">
      <c r="A17" s="3" t="s">
        <v>51</v>
      </c>
      <c r="B17" s="4" t="s">
        <v>62</v>
      </c>
      <c r="C17" s="4" t="s">
        <v>46</v>
      </c>
      <c r="D17" s="4" t="s">
        <v>57</v>
      </c>
      <c r="E17" s="5">
        <v>3</v>
      </c>
      <c r="F17" s="11" t="s">
        <v>54</v>
      </c>
      <c r="G17" s="11">
        <v>0.37505</v>
      </c>
      <c r="H17" s="11" t="s">
        <v>54</v>
      </c>
      <c r="I17" s="11">
        <v>0.375022222222222</v>
      </c>
      <c r="J17" s="15">
        <v>0.999925935801152</v>
      </c>
      <c r="K17" s="11">
        <v>-91.0923827071165</v>
      </c>
      <c r="L17" s="11">
        <v>4.37098659996673</v>
      </c>
      <c r="M17" s="15">
        <v>0.977430033102618</v>
      </c>
      <c r="N17" s="15">
        <v>0.977580499548601</v>
      </c>
      <c r="O17" s="15">
        <v>0.977430033102618</v>
      </c>
      <c r="P17" s="15">
        <v>0.977580499548601</v>
      </c>
      <c r="Q17" s="11">
        <v>52.49486381</v>
      </c>
      <c r="R17" s="11">
        <v>74.249</v>
      </c>
      <c r="S17" s="15">
        <v>0.99</v>
      </c>
      <c r="T17" s="19">
        <v>10</v>
      </c>
      <c r="U17" s="19">
        <v>10</v>
      </c>
      <c r="V17" s="19">
        <v>0</v>
      </c>
      <c r="W17" s="15">
        <v>0</v>
      </c>
      <c r="X17" s="11">
        <v>16.07393423</v>
      </c>
      <c r="Y17" s="11">
        <v>22.1687</v>
      </c>
      <c r="Z17" s="15">
        <v>0.996666666666667</v>
      </c>
      <c r="AA17" s="19">
        <v>10</v>
      </c>
      <c r="AB17" s="19">
        <v>10</v>
      </c>
      <c r="AC17" s="19">
        <v>0</v>
      </c>
      <c r="AD17" s="15">
        <v>0</v>
      </c>
      <c r="AE17" s="11"/>
      <c r="AF17" s="11"/>
      <c r="AG17" s="15"/>
      <c r="AH17" s="15"/>
      <c r="AI17" s="15"/>
      <c r="AJ17" s="15"/>
      <c r="AK17" s="11"/>
      <c r="AL17" s="11"/>
      <c r="AM17" s="15"/>
      <c r="AN17" s="19"/>
      <c r="AO17" s="19"/>
      <c r="AP17" s="19"/>
      <c r="AQ17" s="15"/>
      <c r="AR17" s="11"/>
      <c r="AS17" s="11"/>
      <c r="AT17" s="15"/>
      <c r="AU17" s="19"/>
      <c r="AV17" s="19"/>
      <c r="AW17" s="19"/>
      <c r="AX17" s="15"/>
    </row>
    <row r="18" spans="1:50">
      <c r="A18" s="3" t="s">
        <v>44</v>
      </c>
      <c r="B18" s="3" t="s">
        <v>59</v>
      </c>
      <c r="C18" s="4" t="s">
        <v>46</v>
      </c>
      <c r="D18" s="5" t="s">
        <v>47</v>
      </c>
      <c r="E18" s="7">
        <v>2</v>
      </c>
      <c r="F18" s="10"/>
      <c r="G18" s="10">
        <v>0.241</v>
      </c>
      <c r="H18" s="10"/>
      <c r="I18" s="10">
        <v>0.241</v>
      </c>
      <c r="J18" s="14">
        <v>1</v>
      </c>
      <c r="K18" s="10">
        <v>-90.9019177126918</v>
      </c>
      <c r="L18" s="10">
        <v>5.61671129707113</v>
      </c>
      <c r="M18" s="14">
        <v>1</v>
      </c>
      <c r="N18" s="14">
        <v>1</v>
      </c>
      <c r="O18" s="14">
        <v>1</v>
      </c>
      <c r="P18" s="14">
        <v>1</v>
      </c>
      <c r="Q18" s="10">
        <v>6.51914098360656</v>
      </c>
      <c r="R18" s="10">
        <v>11.25</v>
      </c>
      <c r="S18" s="14">
        <v>0.160655737704918</v>
      </c>
      <c r="T18" s="18">
        <v>10</v>
      </c>
      <c r="U18" s="18">
        <v>10</v>
      </c>
      <c r="V18" s="18">
        <v>0</v>
      </c>
      <c r="W18" s="14">
        <v>0</v>
      </c>
      <c r="X18" s="10">
        <v>11.05781</v>
      </c>
      <c r="Y18" s="10">
        <v>16.464</v>
      </c>
      <c r="Z18" s="14">
        <v>0.976666666666667</v>
      </c>
      <c r="AA18" s="18">
        <v>10</v>
      </c>
      <c r="AB18" s="18">
        <v>10</v>
      </c>
      <c r="AC18" s="18">
        <v>0</v>
      </c>
      <c r="AD18" s="14">
        <v>0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 spans="1:50">
      <c r="A19" s="3" t="s">
        <v>44</v>
      </c>
      <c r="B19" s="3" t="s">
        <v>48</v>
      </c>
      <c r="C19" s="4" t="s">
        <v>46</v>
      </c>
      <c r="D19" s="5" t="s">
        <v>47</v>
      </c>
      <c r="E19" s="7">
        <v>3</v>
      </c>
      <c r="F19" s="10"/>
      <c r="G19" s="10">
        <v>0.239</v>
      </c>
      <c r="H19" s="10"/>
      <c r="I19" s="10">
        <v>0.239</v>
      </c>
      <c r="J19" s="14">
        <v>1</v>
      </c>
      <c r="K19" s="10">
        <v>-90.8958844380403</v>
      </c>
      <c r="L19" s="10">
        <v>8.20991700288184</v>
      </c>
      <c r="M19" s="14">
        <v>0.986743515850144</v>
      </c>
      <c r="N19" s="14">
        <v>0.986743515850144</v>
      </c>
      <c r="O19" s="14">
        <v>0.986743515850144</v>
      </c>
      <c r="P19" s="14">
        <v>0.986743515850144</v>
      </c>
      <c r="Q19" s="10">
        <v>23.5589702970297</v>
      </c>
      <c r="R19" s="10">
        <v>30.067</v>
      </c>
      <c r="S19" s="14">
        <v>0.98019801980198</v>
      </c>
      <c r="T19" s="18">
        <v>10</v>
      </c>
      <c r="U19" s="18">
        <v>10</v>
      </c>
      <c r="V19" s="18">
        <v>0</v>
      </c>
      <c r="W19" s="14">
        <v>0</v>
      </c>
      <c r="X19" s="10">
        <v>19.25733</v>
      </c>
      <c r="Y19" s="10">
        <v>21.848999</v>
      </c>
      <c r="Z19" s="14">
        <v>1</v>
      </c>
      <c r="AA19" s="18">
        <v>10</v>
      </c>
      <c r="AB19" s="18">
        <v>10</v>
      </c>
      <c r="AC19" s="18">
        <v>0</v>
      </c>
      <c r="AD19" s="14">
        <v>0</v>
      </c>
      <c r="AE19" s="10"/>
      <c r="AF19" s="10"/>
      <c r="AG19" s="14"/>
      <c r="AH19" s="14"/>
      <c r="AI19" s="14"/>
      <c r="AJ19" s="14"/>
      <c r="AK19" s="10"/>
      <c r="AL19" s="10"/>
      <c r="AM19" s="14"/>
      <c r="AN19" s="18"/>
      <c r="AO19" s="18"/>
      <c r="AP19" s="18"/>
      <c r="AQ19" s="14"/>
      <c r="AR19" s="10"/>
      <c r="AS19" s="10"/>
      <c r="AT19" s="14"/>
      <c r="AU19" s="18"/>
      <c r="AV19" s="18"/>
      <c r="AW19" s="18"/>
      <c r="AX19" s="14"/>
    </row>
    <row r="20" spans="1:50">
      <c r="A20" s="3" t="s">
        <v>51</v>
      </c>
      <c r="B20" s="6" t="s">
        <v>52</v>
      </c>
      <c r="C20" s="6" t="s">
        <v>46</v>
      </c>
      <c r="D20" s="6" t="s">
        <v>47</v>
      </c>
      <c r="E20" s="4">
        <v>3</v>
      </c>
      <c r="F20" s="11" t="s">
        <v>54</v>
      </c>
      <c r="G20" s="11">
        <v>0.436552777777778</v>
      </c>
      <c r="H20" s="11" t="s">
        <v>54</v>
      </c>
      <c r="I20" s="11">
        <v>0.436527777777778</v>
      </c>
      <c r="J20" s="15">
        <v>0.999942733155594</v>
      </c>
      <c r="K20" s="11">
        <v>-90.2319317904739</v>
      </c>
      <c r="L20" s="11">
        <v>12.2286663100405</v>
      </c>
      <c r="M20" s="15">
        <v>1</v>
      </c>
      <c r="N20" s="15">
        <v>1</v>
      </c>
      <c r="O20" s="15">
        <v>1</v>
      </c>
      <c r="P20" s="15">
        <v>1</v>
      </c>
      <c r="Q20" s="11">
        <v>4.87328530666667</v>
      </c>
      <c r="R20" s="11">
        <v>6.29376</v>
      </c>
      <c r="S20" s="15">
        <v>0</v>
      </c>
      <c r="T20" s="19">
        <v>10</v>
      </c>
      <c r="U20" s="19">
        <v>10</v>
      </c>
      <c r="V20" s="19">
        <v>0</v>
      </c>
      <c r="W20" s="15">
        <v>0</v>
      </c>
      <c r="X20" s="11">
        <v>4.77299510333333</v>
      </c>
      <c r="Y20" s="11">
        <v>7.33799</v>
      </c>
      <c r="Z20" s="15">
        <v>0.89</v>
      </c>
      <c r="AA20" s="19">
        <v>10</v>
      </c>
      <c r="AB20" s="19">
        <v>10</v>
      </c>
      <c r="AC20" s="19">
        <v>0</v>
      </c>
      <c r="AD20" s="15">
        <v>0</v>
      </c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</row>
    <row r="21" spans="1:50">
      <c r="A21" s="3" t="s">
        <v>51</v>
      </c>
      <c r="B21" s="4" t="s">
        <v>62</v>
      </c>
      <c r="C21" s="4" t="s">
        <v>49</v>
      </c>
      <c r="D21" s="4" t="s">
        <v>50</v>
      </c>
      <c r="E21" s="4">
        <v>1</v>
      </c>
      <c r="F21" s="11">
        <v>2.17301897633076</v>
      </c>
      <c r="G21" s="11">
        <v>0.73</v>
      </c>
      <c r="H21" s="11">
        <f>F21/G21</f>
        <v>2.97673832374077</v>
      </c>
      <c r="I21" s="11">
        <v>0.727892221</v>
      </c>
      <c r="J21" s="15">
        <f>I21/G21</f>
        <v>0.997112631506849</v>
      </c>
      <c r="K21" s="11">
        <v>-89.8590449492308</v>
      </c>
      <c r="L21" s="11">
        <v>5.01775224164474</v>
      </c>
      <c r="M21" s="15" t="s">
        <v>54</v>
      </c>
      <c r="N21" s="15" t="s">
        <v>54</v>
      </c>
      <c r="O21" s="15" t="s">
        <v>54</v>
      </c>
      <c r="P21" s="15" t="s">
        <v>54</v>
      </c>
      <c r="Q21" s="11">
        <v>27.0881401166667</v>
      </c>
      <c r="R21" s="11">
        <v>44.964</v>
      </c>
      <c r="S21" s="15">
        <v>0.952380952380952</v>
      </c>
      <c r="T21" s="19">
        <v>14</v>
      </c>
      <c r="U21" s="19">
        <v>14</v>
      </c>
      <c r="V21" s="19">
        <v>0</v>
      </c>
      <c r="W21" s="15">
        <v>0</v>
      </c>
      <c r="X21" s="11">
        <v>30.1392578136792</v>
      </c>
      <c r="Y21" s="11">
        <v>48.6117</v>
      </c>
      <c r="Z21" s="15">
        <v>0.936320754716981</v>
      </c>
      <c r="AA21" s="19">
        <v>15</v>
      </c>
      <c r="AB21" s="19">
        <v>15</v>
      </c>
      <c r="AC21" s="19">
        <v>0</v>
      </c>
      <c r="AD21" s="15">
        <v>0</v>
      </c>
      <c r="AE21" s="11">
        <v>-89.9222834993131</v>
      </c>
      <c r="AF21" s="11">
        <v>5.28700495237671</v>
      </c>
      <c r="AG21" s="15" t="s">
        <v>54</v>
      </c>
      <c r="AH21" s="15" t="s">
        <v>54</v>
      </c>
      <c r="AI21" s="15" t="s">
        <v>54</v>
      </c>
      <c r="AJ21" s="15" t="s">
        <v>54</v>
      </c>
      <c r="AK21" s="11">
        <v>27.6355745686604</v>
      </c>
      <c r="AL21" s="11">
        <v>45.2693104666667</v>
      </c>
      <c r="AM21" s="15">
        <v>0.96969696969697</v>
      </c>
      <c r="AN21" s="19">
        <v>14</v>
      </c>
      <c r="AO21" s="19">
        <v>14</v>
      </c>
      <c r="AP21" s="19">
        <v>0</v>
      </c>
      <c r="AQ21" s="15">
        <v>0</v>
      </c>
      <c r="AR21" s="11">
        <v>28.6799765584331</v>
      </c>
      <c r="AS21" s="11">
        <v>43.4211505</v>
      </c>
      <c r="AT21" s="15">
        <v>0.909090909090909</v>
      </c>
      <c r="AU21" s="19">
        <v>15</v>
      </c>
      <c r="AV21" s="19">
        <v>15</v>
      </c>
      <c r="AW21" s="19">
        <v>0</v>
      </c>
      <c r="AX21" s="15">
        <v>0</v>
      </c>
    </row>
    <row r="22" spans="1:50">
      <c r="A22" s="3" t="s">
        <v>51</v>
      </c>
      <c r="B22" s="6" t="s">
        <v>52</v>
      </c>
      <c r="C22" s="6" t="s">
        <v>46</v>
      </c>
      <c r="D22" s="6" t="s">
        <v>47</v>
      </c>
      <c r="E22" s="4">
        <v>2</v>
      </c>
      <c r="F22" s="11" t="s">
        <v>54</v>
      </c>
      <c r="G22" s="11">
        <v>0.436413888888889</v>
      </c>
      <c r="H22" s="11" t="s">
        <v>54</v>
      </c>
      <c r="I22" s="11">
        <v>0.436388888888889</v>
      </c>
      <c r="J22" s="15">
        <v>0.999942714930399</v>
      </c>
      <c r="K22" s="11">
        <v>-89.6493297387923</v>
      </c>
      <c r="L22" s="11">
        <v>9.46180710347181</v>
      </c>
      <c r="M22" s="15">
        <v>0.998212461695608</v>
      </c>
      <c r="N22" s="15">
        <v>0.999872318692543</v>
      </c>
      <c r="O22" s="15">
        <v>0.998212461695608</v>
      </c>
      <c r="P22" s="15">
        <v>0.999872318692543</v>
      </c>
      <c r="Q22" s="11">
        <v>4.93077398662207</v>
      </c>
      <c r="R22" s="11">
        <v>6.66874</v>
      </c>
      <c r="S22" s="15">
        <v>0</v>
      </c>
      <c r="T22" s="19">
        <v>10</v>
      </c>
      <c r="U22" s="19">
        <v>10</v>
      </c>
      <c r="V22" s="19">
        <v>0</v>
      </c>
      <c r="W22" s="15">
        <v>0</v>
      </c>
      <c r="X22" s="11">
        <v>5.21826399666667</v>
      </c>
      <c r="Y22" s="11">
        <v>7.68</v>
      </c>
      <c r="Z22" s="15">
        <v>0.96</v>
      </c>
      <c r="AA22" s="19">
        <v>10</v>
      </c>
      <c r="AB22" s="19">
        <v>10</v>
      </c>
      <c r="AC22" s="19">
        <v>0</v>
      </c>
      <c r="AD22" s="15">
        <v>0</v>
      </c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</row>
    <row r="23" spans="1:50">
      <c r="A23" s="3" t="s">
        <v>44</v>
      </c>
      <c r="B23" s="7" t="s">
        <v>60</v>
      </c>
      <c r="C23" s="4" t="s">
        <v>49</v>
      </c>
      <c r="D23" s="5" t="s">
        <v>50</v>
      </c>
      <c r="E23" s="7">
        <v>2</v>
      </c>
      <c r="F23" s="10">
        <v>3.814</v>
      </c>
      <c r="G23" s="10">
        <v>0.408</v>
      </c>
      <c r="H23" s="10">
        <v>9.34803921568628</v>
      </c>
      <c r="I23" s="10">
        <v>0.3923888184</v>
      </c>
      <c r="J23" s="14">
        <v>0.9617373</v>
      </c>
      <c r="K23" s="10">
        <v>-89.6269576701659</v>
      </c>
      <c r="L23" s="10">
        <v>2.54347443278022</v>
      </c>
      <c r="M23" s="14">
        <v>0.813137032842582</v>
      </c>
      <c r="N23" s="14">
        <v>0.813622391198835</v>
      </c>
      <c r="O23" s="14">
        <v>0.850998984083982</v>
      </c>
      <c r="P23" s="14">
        <v>0.851506942092787</v>
      </c>
      <c r="Q23" s="10">
        <v>19.4235762331839</v>
      </c>
      <c r="R23" s="10">
        <v>52.719</v>
      </c>
      <c r="S23" s="14">
        <v>0.517937219730942</v>
      </c>
      <c r="T23" s="18">
        <v>15</v>
      </c>
      <c r="U23" s="18">
        <v>15</v>
      </c>
      <c r="V23" s="18">
        <v>0</v>
      </c>
      <c r="W23" s="14">
        <v>0</v>
      </c>
      <c r="X23" s="10">
        <v>10.1573820960699</v>
      </c>
      <c r="Y23" s="10">
        <v>18.772</v>
      </c>
      <c r="Z23" s="14">
        <v>0.860262008733624</v>
      </c>
      <c r="AA23" s="18">
        <v>16</v>
      </c>
      <c r="AB23" s="18">
        <v>16</v>
      </c>
      <c r="AC23" s="18">
        <v>0</v>
      </c>
      <c r="AD23" s="14">
        <v>0</v>
      </c>
      <c r="AE23" s="10">
        <v>-89.6634158878505</v>
      </c>
      <c r="AF23" s="10">
        <v>2.29714485981308</v>
      </c>
      <c r="AG23" s="14">
        <v>0.783549783549784</v>
      </c>
      <c r="AH23" s="14">
        <v>0.783549783549784</v>
      </c>
      <c r="AI23" s="14">
        <v>0.845794392523365</v>
      </c>
      <c r="AJ23" s="14">
        <v>0.845794392523365</v>
      </c>
      <c r="AK23" s="10">
        <v>19.8639305555556</v>
      </c>
      <c r="AL23" s="10">
        <v>46.867</v>
      </c>
      <c r="AM23" s="14">
        <v>0.541666666666667</v>
      </c>
      <c r="AN23" s="18">
        <v>15</v>
      </c>
      <c r="AO23" s="18">
        <v>15</v>
      </c>
      <c r="AP23" s="18">
        <v>0</v>
      </c>
      <c r="AQ23" s="14">
        <v>0</v>
      </c>
      <c r="AR23" s="10">
        <v>11.2480422535211</v>
      </c>
      <c r="AS23" s="10">
        <v>18.948</v>
      </c>
      <c r="AT23" s="14">
        <v>0.915492957746479</v>
      </c>
      <c r="AU23" s="18">
        <v>16</v>
      </c>
      <c r="AV23" s="18">
        <v>16</v>
      </c>
      <c r="AW23" s="18">
        <v>0</v>
      </c>
      <c r="AX23" s="14">
        <v>0</v>
      </c>
    </row>
    <row r="24" spans="1:50">
      <c r="A24" s="3" t="s">
        <v>51</v>
      </c>
      <c r="B24" s="4" t="s">
        <v>62</v>
      </c>
      <c r="C24" s="4" t="s">
        <v>49</v>
      </c>
      <c r="D24" s="4" t="s">
        <v>50</v>
      </c>
      <c r="E24" s="4">
        <v>2</v>
      </c>
      <c r="F24" s="11">
        <v>2.17256402724981</v>
      </c>
      <c r="G24" s="11">
        <v>0.73</v>
      </c>
      <c r="H24" s="11">
        <f>F24/G24</f>
        <v>2.97611510582166</v>
      </c>
      <c r="I24" s="11">
        <v>0.7278652</v>
      </c>
      <c r="J24" s="15">
        <f>I24/G24</f>
        <v>0.997075616438356</v>
      </c>
      <c r="K24" s="11">
        <v>-89.6234583327262</v>
      </c>
      <c r="L24" s="11">
        <v>6.31187857744307</v>
      </c>
      <c r="M24" s="15" t="s">
        <v>54</v>
      </c>
      <c r="N24" s="15" t="s">
        <v>54</v>
      </c>
      <c r="O24" s="15" t="s">
        <v>54</v>
      </c>
      <c r="P24" s="15" t="s">
        <v>54</v>
      </c>
      <c r="Q24" s="11">
        <v>26.9962605214286</v>
      </c>
      <c r="R24" s="11">
        <v>60.3586</v>
      </c>
      <c r="S24" s="15">
        <v>0.869047619047619</v>
      </c>
      <c r="T24" s="19">
        <v>14</v>
      </c>
      <c r="U24" s="19">
        <v>14</v>
      </c>
      <c r="V24" s="19">
        <v>0</v>
      </c>
      <c r="W24" s="15">
        <v>0</v>
      </c>
      <c r="X24" s="11">
        <v>13.8313388428571</v>
      </c>
      <c r="Y24" s="11">
        <v>21.76</v>
      </c>
      <c r="Z24" s="15">
        <v>0.916666666666667</v>
      </c>
      <c r="AA24" s="19">
        <v>14</v>
      </c>
      <c r="AB24" s="19">
        <v>14</v>
      </c>
      <c r="AC24" s="19">
        <v>0</v>
      </c>
      <c r="AD24" s="15">
        <v>0</v>
      </c>
      <c r="AE24" s="11">
        <v>-90.3303576073013</v>
      </c>
      <c r="AF24" s="11">
        <v>6.11422737593426</v>
      </c>
      <c r="AG24" s="15" t="s">
        <v>54</v>
      </c>
      <c r="AH24" s="15" t="s">
        <v>54</v>
      </c>
      <c r="AI24" s="15" t="s">
        <v>54</v>
      </c>
      <c r="AJ24" s="15" t="s">
        <v>54</v>
      </c>
      <c r="AK24" s="11">
        <v>26.200213463809</v>
      </c>
      <c r="AL24" s="11">
        <v>59.0859075</v>
      </c>
      <c r="AM24" s="15">
        <v>0.885714285714286</v>
      </c>
      <c r="AN24" s="19">
        <v>14</v>
      </c>
      <c r="AO24" s="19">
        <v>14</v>
      </c>
      <c r="AP24" s="19">
        <v>0</v>
      </c>
      <c r="AQ24" s="15">
        <v>0</v>
      </c>
      <c r="AR24" s="11">
        <v>14.2329443533293</v>
      </c>
      <c r="AS24" s="11">
        <v>24.4116173333333</v>
      </c>
      <c r="AT24" s="15">
        <v>0.972972972972973</v>
      </c>
      <c r="AU24" s="19">
        <v>14</v>
      </c>
      <c r="AV24" s="19">
        <v>14</v>
      </c>
      <c r="AW24" s="19">
        <v>0</v>
      </c>
      <c r="AX24" s="15">
        <v>0</v>
      </c>
    </row>
    <row r="25" spans="1:50">
      <c r="A25" s="3" t="s">
        <v>51</v>
      </c>
      <c r="B25" s="4" t="s">
        <v>62</v>
      </c>
      <c r="C25" s="4" t="s">
        <v>49</v>
      </c>
      <c r="D25" s="4" t="s">
        <v>50</v>
      </c>
      <c r="E25" s="4">
        <v>3</v>
      </c>
      <c r="F25" s="11">
        <v>2.17412685996294</v>
      </c>
      <c r="G25" s="11">
        <v>0.73</v>
      </c>
      <c r="H25" s="11">
        <f>F25/G25</f>
        <v>2.97825597255197</v>
      </c>
      <c r="I25" s="11">
        <v>0.7299991</v>
      </c>
      <c r="J25" s="15">
        <f>I25/G25</f>
        <v>0.999998767123288</v>
      </c>
      <c r="K25" s="11">
        <v>-89.4211104006948</v>
      </c>
      <c r="L25" s="11">
        <v>6.80509911483584</v>
      </c>
      <c r="M25" s="15" t="s">
        <v>54</v>
      </c>
      <c r="N25" s="15" t="s">
        <v>54</v>
      </c>
      <c r="O25" s="15" t="s">
        <v>54</v>
      </c>
      <c r="P25" s="15" t="s">
        <v>54</v>
      </c>
      <c r="Q25" s="11">
        <v>27.596685097619</v>
      </c>
      <c r="R25" s="11">
        <v>59.6751</v>
      </c>
      <c r="S25" s="15">
        <v>0.866666666666667</v>
      </c>
      <c r="T25" s="19">
        <v>14</v>
      </c>
      <c r="U25" s="19">
        <v>14</v>
      </c>
      <c r="V25" s="19">
        <v>0</v>
      </c>
      <c r="W25" s="15">
        <v>0</v>
      </c>
      <c r="X25" s="11">
        <v>15.5700946848341</v>
      </c>
      <c r="Y25" s="11">
        <v>24.8638</v>
      </c>
      <c r="Z25" s="15">
        <v>0.943127962085308</v>
      </c>
      <c r="AA25" s="19">
        <v>15</v>
      </c>
      <c r="AB25" s="19">
        <v>15</v>
      </c>
      <c r="AC25" s="19">
        <v>0</v>
      </c>
      <c r="AD25" s="15">
        <v>0</v>
      </c>
      <c r="AE25" s="11">
        <v>-89.9023876715752</v>
      </c>
      <c r="AF25" s="11">
        <v>6.34684274167585</v>
      </c>
      <c r="AG25" s="15" t="s">
        <v>54</v>
      </c>
      <c r="AH25" s="15" t="s">
        <v>54</v>
      </c>
      <c r="AI25" s="15" t="s">
        <v>54</v>
      </c>
      <c r="AJ25" s="15" t="s">
        <v>54</v>
      </c>
      <c r="AK25" s="11">
        <v>25.4558596090763</v>
      </c>
      <c r="AL25" s="11">
        <v>49.2797219230769</v>
      </c>
      <c r="AM25" s="15">
        <v>0.882352941176471</v>
      </c>
      <c r="AN25" s="19">
        <v>14</v>
      </c>
      <c r="AO25" s="19">
        <v>14</v>
      </c>
      <c r="AP25" s="19">
        <v>0</v>
      </c>
      <c r="AQ25" s="15">
        <v>0</v>
      </c>
      <c r="AR25" s="11">
        <v>15.1668247139688</v>
      </c>
      <c r="AS25" s="11">
        <v>23.3895301666667</v>
      </c>
      <c r="AT25" s="15">
        <v>0.939393939393939</v>
      </c>
      <c r="AU25" s="19">
        <v>15</v>
      </c>
      <c r="AV25" s="19">
        <v>15</v>
      </c>
      <c r="AW25" s="19">
        <v>0</v>
      </c>
      <c r="AX25" s="15">
        <v>0</v>
      </c>
    </row>
    <row r="26" spans="1:50">
      <c r="A26" s="3" t="s">
        <v>44</v>
      </c>
      <c r="B26" s="7" t="s">
        <v>60</v>
      </c>
      <c r="C26" s="4" t="s">
        <v>49</v>
      </c>
      <c r="D26" s="5" t="s">
        <v>50</v>
      </c>
      <c r="E26" s="7">
        <v>3</v>
      </c>
      <c r="F26" s="10">
        <v>6.053</v>
      </c>
      <c r="G26" s="10">
        <v>0.641</v>
      </c>
      <c r="H26" s="10">
        <v>9.44305772230889</v>
      </c>
      <c r="I26" s="10">
        <v>0.63329343007</v>
      </c>
      <c r="J26" s="14">
        <v>0.98797727</v>
      </c>
      <c r="K26" s="10">
        <v>-89.2418560016599</v>
      </c>
      <c r="L26" s="10">
        <v>12.7525538956323</v>
      </c>
      <c r="M26" s="14">
        <v>0.970949263502455</v>
      </c>
      <c r="N26" s="14">
        <v>0.980155482815057</v>
      </c>
      <c r="O26" s="14">
        <v>0.984749455337691</v>
      </c>
      <c r="P26" s="14">
        <v>0.994086523498288</v>
      </c>
      <c r="Q26" s="10">
        <v>43.6083654320988</v>
      </c>
      <c r="R26" s="10">
        <v>71.347</v>
      </c>
      <c r="S26" s="14">
        <v>0.964197530864198</v>
      </c>
      <c r="T26" s="18">
        <v>27</v>
      </c>
      <c r="U26" s="18">
        <v>27</v>
      </c>
      <c r="V26" s="18">
        <v>0</v>
      </c>
      <c r="W26" s="14">
        <v>0</v>
      </c>
      <c r="X26" s="10">
        <v>17.3355830212235</v>
      </c>
      <c r="Y26" s="10">
        <v>22.456</v>
      </c>
      <c r="Z26" s="14">
        <v>0.98876404494382</v>
      </c>
      <c r="AA26" s="18">
        <v>27</v>
      </c>
      <c r="AB26" s="18">
        <v>27</v>
      </c>
      <c r="AC26" s="18">
        <v>0</v>
      </c>
      <c r="AD26" s="14">
        <v>0</v>
      </c>
      <c r="AE26" s="10">
        <v>-88.8315014577259</v>
      </c>
      <c r="AF26" s="10">
        <v>13.2407521865889</v>
      </c>
      <c r="AG26" s="14">
        <v>0.960227272727273</v>
      </c>
      <c r="AH26" s="14">
        <v>0.96875</v>
      </c>
      <c r="AI26" s="14">
        <v>0.985422740524781</v>
      </c>
      <c r="AJ26" s="14">
        <v>0.994169096209913</v>
      </c>
      <c r="AK26" s="10">
        <v>42.609</v>
      </c>
      <c r="AL26" s="10">
        <v>67.535</v>
      </c>
      <c r="AM26" s="14">
        <v>0.96031746031746</v>
      </c>
      <c r="AN26" s="18">
        <v>27</v>
      </c>
      <c r="AO26" s="18">
        <v>27</v>
      </c>
      <c r="AP26" s="18">
        <v>0</v>
      </c>
      <c r="AQ26" s="14">
        <v>0</v>
      </c>
      <c r="AR26" s="10">
        <v>17.1411860465116</v>
      </c>
      <c r="AS26" s="10">
        <v>22.123</v>
      </c>
      <c r="AT26" s="14">
        <v>0.984496124031008</v>
      </c>
      <c r="AU26" s="18">
        <v>27</v>
      </c>
      <c r="AV26" s="18">
        <v>27</v>
      </c>
      <c r="AW26" s="18">
        <v>0</v>
      </c>
      <c r="AX26" s="14">
        <v>0</v>
      </c>
    </row>
    <row r="27" spans="1:50">
      <c r="A27" s="3" t="s">
        <v>51</v>
      </c>
      <c r="B27" s="6" t="s">
        <v>52</v>
      </c>
      <c r="C27" s="6" t="s">
        <v>46</v>
      </c>
      <c r="D27" s="6" t="s">
        <v>47</v>
      </c>
      <c r="E27" s="4">
        <v>1</v>
      </c>
      <c r="F27" s="11" t="s">
        <v>54</v>
      </c>
      <c r="G27" s="11">
        <v>0.436747222222222</v>
      </c>
      <c r="H27" s="11" t="s">
        <v>54</v>
      </c>
      <c r="I27" s="11">
        <v>0.436722222222222</v>
      </c>
      <c r="J27" s="15">
        <v>0.999942758651394</v>
      </c>
      <c r="K27" s="11">
        <v>-89.0335854329401</v>
      </c>
      <c r="L27" s="11">
        <v>12.7014128513203</v>
      </c>
      <c r="M27" s="15">
        <v>1</v>
      </c>
      <c r="N27" s="15">
        <v>1</v>
      </c>
      <c r="O27" s="15">
        <v>1</v>
      </c>
      <c r="P27" s="15">
        <v>1</v>
      </c>
      <c r="Q27" s="11">
        <v>58.2061594066667</v>
      </c>
      <c r="R27" s="11">
        <v>66.2956</v>
      </c>
      <c r="S27" s="15">
        <v>1</v>
      </c>
      <c r="T27" s="19">
        <v>10</v>
      </c>
      <c r="U27" s="19">
        <v>10</v>
      </c>
      <c r="V27" s="19">
        <v>0</v>
      </c>
      <c r="W27" s="15">
        <v>0</v>
      </c>
      <c r="X27" s="11">
        <v>14.5520355666667</v>
      </c>
      <c r="Y27" s="11">
        <v>15.7272</v>
      </c>
      <c r="Z27" s="15">
        <v>1</v>
      </c>
      <c r="AA27" s="19">
        <v>10</v>
      </c>
      <c r="AB27" s="19">
        <v>10</v>
      </c>
      <c r="AC27" s="19">
        <v>0</v>
      </c>
      <c r="AD27" s="15">
        <v>0</v>
      </c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</row>
    <row r="28" spans="1:50">
      <c r="A28" s="3" t="s">
        <v>51</v>
      </c>
      <c r="B28" s="4" t="s">
        <v>62</v>
      </c>
      <c r="C28" s="4" t="s">
        <v>46</v>
      </c>
      <c r="D28" s="4" t="s">
        <v>57</v>
      </c>
      <c r="E28" s="5">
        <v>2</v>
      </c>
      <c r="F28" s="11" t="s">
        <v>54</v>
      </c>
      <c r="G28" s="11">
        <v>0.374875</v>
      </c>
      <c r="H28" s="11" t="s">
        <v>54</v>
      </c>
      <c r="I28" s="11">
        <v>0.374847222222222</v>
      </c>
      <c r="J28" s="15">
        <v>0.999925901226335</v>
      </c>
      <c r="K28" s="11">
        <v>-88.8911030832508</v>
      </c>
      <c r="L28" s="11">
        <v>3.21512802225696</v>
      </c>
      <c r="M28" s="15">
        <v>0.985648078935566</v>
      </c>
      <c r="N28" s="15">
        <v>0.98579757811332</v>
      </c>
      <c r="O28" s="15">
        <v>0.985648078935566</v>
      </c>
      <c r="P28" s="15">
        <v>0.98579757811332</v>
      </c>
      <c r="Q28" s="11">
        <v>54.90154963</v>
      </c>
      <c r="R28" s="11">
        <v>70.521</v>
      </c>
      <c r="S28" s="15">
        <v>1</v>
      </c>
      <c r="T28" s="19">
        <v>10</v>
      </c>
      <c r="U28" s="19">
        <v>10</v>
      </c>
      <c r="V28" s="19">
        <v>0</v>
      </c>
      <c r="W28" s="15">
        <v>0</v>
      </c>
      <c r="X28" s="11">
        <v>20.1479266633333</v>
      </c>
      <c r="Y28" s="11">
        <v>27.3287</v>
      </c>
      <c r="Z28" s="15">
        <v>1</v>
      </c>
      <c r="AA28" s="19">
        <v>10</v>
      </c>
      <c r="AB28" s="19">
        <v>10</v>
      </c>
      <c r="AC28" s="19">
        <v>0</v>
      </c>
      <c r="AD28" s="15">
        <v>0</v>
      </c>
      <c r="AE28" s="11"/>
      <c r="AF28" s="11"/>
      <c r="AG28" s="15"/>
      <c r="AH28" s="15"/>
      <c r="AI28" s="15"/>
      <c r="AJ28" s="15"/>
      <c r="AK28" s="11"/>
      <c r="AL28" s="11"/>
      <c r="AM28" s="15"/>
      <c r="AN28" s="19"/>
      <c r="AO28" s="19"/>
      <c r="AP28" s="19"/>
      <c r="AQ28" s="15"/>
      <c r="AR28" s="11"/>
      <c r="AS28" s="11"/>
      <c r="AT28" s="15"/>
      <c r="AU28" s="19"/>
      <c r="AV28" s="19"/>
      <c r="AW28" s="19"/>
      <c r="AX28" s="15"/>
    </row>
    <row r="29" spans="1:50">
      <c r="A29" s="3" t="s">
        <v>51</v>
      </c>
      <c r="B29" s="4" t="s">
        <v>62</v>
      </c>
      <c r="C29" s="4" t="s">
        <v>49</v>
      </c>
      <c r="D29" s="4" t="s">
        <v>61</v>
      </c>
      <c r="E29" s="4">
        <v>1</v>
      </c>
      <c r="F29" s="11">
        <v>2.1691858626008</v>
      </c>
      <c r="G29" s="11">
        <v>0.505191666666667</v>
      </c>
      <c r="H29" s="11">
        <v>4.29378789423315</v>
      </c>
      <c r="I29" s="11">
        <v>0.505163888888889</v>
      </c>
      <c r="J29" s="15">
        <v>0.999945015368204</v>
      </c>
      <c r="K29" s="11">
        <v>-87.6211288059558</v>
      </c>
      <c r="L29" s="11">
        <v>8.79502921117942</v>
      </c>
      <c r="M29" s="15">
        <v>0.973719081272085</v>
      </c>
      <c r="N29" s="15">
        <v>0.973829505300353</v>
      </c>
      <c r="O29" s="15">
        <v>0.973719081272085</v>
      </c>
      <c r="P29" s="15">
        <v>0.973829505300353</v>
      </c>
      <c r="Q29" s="11">
        <v>39.3115142166667</v>
      </c>
      <c r="R29" s="11">
        <v>69.5005</v>
      </c>
      <c r="S29" s="15">
        <v>1</v>
      </c>
      <c r="T29" s="19">
        <v>14</v>
      </c>
      <c r="U29" s="19">
        <v>14</v>
      </c>
      <c r="V29" s="19">
        <v>0</v>
      </c>
      <c r="W29" s="15">
        <v>0</v>
      </c>
      <c r="X29" s="11">
        <v>49.0976113955556</v>
      </c>
      <c r="Y29" s="11">
        <v>84.6779</v>
      </c>
      <c r="Z29" s="15">
        <v>1</v>
      </c>
      <c r="AA29" s="19">
        <v>15</v>
      </c>
      <c r="AB29" s="19">
        <v>15</v>
      </c>
      <c r="AC29" s="19">
        <v>0</v>
      </c>
      <c r="AD29" s="15">
        <v>0</v>
      </c>
      <c r="AE29" s="11">
        <v>-87.3799315164632</v>
      </c>
      <c r="AF29" s="11">
        <v>8.85049826703776</v>
      </c>
      <c r="AG29" s="15">
        <v>1</v>
      </c>
      <c r="AH29" s="15">
        <v>1</v>
      </c>
      <c r="AI29" s="15">
        <v>1</v>
      </c>
      <c r="AJ29" s="15">
        <v>1</v>
      </c>
      <c r="AK29" s="11">
        <v>38.583292379775</v>
      </c>
      <c r="AL29" s="11">
        <v>63.0599076363636</v>
      </c>
      <c r="AM29" s="15">
        <v>1</v>
      </c>
      <c r="AN29" s="19">
        <v>14</v>
      </c>
      <c r="AO29" s="19">
        <v>14</v>
      </c>
      <c r="AP29" s="19">
        <v>0</v>
      </c>
      <c r="AQ29" s="15">
        <v>0</v>
      </c>
      <c r="AR29" s="11">
        <v>49.8571171756683</v>
      </c>
      <c r="AS29" s="11">
        <v>82.4958732857143</v>
      </c>
      <c r="AT29" s="15">
        <v>1</v>
      </c>
      <c r="AU29" s="19">
        <v>15</v>
      </c>
      <c r="AV29" s="19">
        <v>15</v>
      </c>
      <c r="AW29" s="19">
        <v>0</v>
      </c>
      <c r="AX29" s="15">
        <v>0</v>
      </c>
    </row>
    <row r="30" spans="1:50">
      <c r="A30" s="3" t="s">
        <v>44</v>
      </c>
      <c r="B30" s="3" t="s">
        <v>48</v>
      </c>
      <c r="C30" s="4" t="s">
        <v>46</v>
      </c>
      <c r="D30" s="5" t="s">
        <v>47</v>
      </c>
      <c r="E30" s="7">
        <v>2</v>
      </c>
      <c r="F30" s="10"/>
      <c r="G30" s="10">
        <v>0.239</v>
      </c>
      <c r="H30" s="10"/>
      <c r="I30" s="10">
        <v>0.239</v>
      </c>
      <c r="J30" s="14">
        <v>1</v>
      </c>
      <c r="K30" s="10">
        <v>-87.4735715955581</v>
      </c>
      <c r="L30" s="10">
        <v>9.35122530683811</v>
      </c>
      <c r="M30" s="14">
        <v>1</v>
      </c>
      <c r="N30" s="14">
        <v>1</v>
      </c>
      <c r="O30" s="14">
        <v>1</v>
      </c>
      <c r="P30" s="14">
        <v>1</v>
      </c>
      <c r="Q30" s="10">
        <v>30.0442376237624</v>
      </c>
      <c r="R30" s="10">
        <v>38.891</v>
      </c>
      <c r="S30" s="14">
        <v>0.99009900990099</v>
      </c>
      <c r="T30" s="18">
        <v>10</v>
      </c>
      <c r="U30" s="18">
        <v>10</v>
      </c>
      <c r="V30" s="18">
        <v>0</v>
      </c>
      <c r="W30" s="14">
        <v>0</v>
      </c>
      <c r="X30" s="10">
        <v>19.6555933333333</v>
      </c>
      <c r="Y30" s="10">
        <v>22.745</v>
      </c>
      <c r="Z30" s="14">
        <v>1</v>
      </c>
      <c r="AA30" s="18">
        <v>10</v>
      </c>
      <c r="AB30" s="18">
        <v>10</v>
      </c>
      <c r="AC30" s="18">
        <v>0</v>
      </c>
      <c r="AD30" s="14">
        <v>0</v>
      </c>
      <c r="AE30" s="10"/>
      <c r="AF30" s="10"/>
      <c r="AG30" s="14"/>
      <c r="AH30" s="14"/>
      <c r="AI30" s="14"/>
      <c r="AJ30" s="14"/>
      <c r="AK30" s="10"/>
      <c r="AL30" s="10"/>
      <c r="AM30" s="14"/>
      <c r="AN30" s="18"/>
      <c r="AO30" s="18"/>
      <c r="AP30" s="18"/>
      <c r="AQ30" s="14"/>
      <c r="AR30" s="10"/>
      <c r="AS30" s="10"/>
      <c r="AT30" s="14"/>
      <c r="AU30" s="18"/>
      <c r="AV30" s="18"/>
      <c r="AW30" s="18"/>
      <c r="AX30" s="14"/>
    </row>
    <row r="31" spans="1:50">
      <c r="A31" s="3" t="s">
        <v>44</v>
      </c>
      <c r="B31" s="7" t="s">
        <v>60</v>
      </c>
      <c r="C31" s="4" t="s">
        <v>49</v>
      </c>
      <c r="D31" s="5" t="s">
        <v>50</v>
      </c>
      <c r="E31" s="7">
        <v>2</v>
      </c>
      <c r="F31" s="10">
        <v>6.053</v>
      </c>
      <c r="G31" s="10">
        <v>0.641</v>
      </c>
      <c r="H31" s="10">
        <v>9.44305772230889</v>
      </c>
      <c r="I31" s="10">
        <v>0.6368559991</v>
      </c>
      <c r="J31" s="14">
        <v>0.9935351</v>
      </c>
      <c r="K31" s="10">
        <v>-87.3145334887664</v>
      </c>
      <c r="L31" s="10">
        <v>13.3284404408648</v>
      </c>
      <c r="M31" s="14">
        <v>0.981693845344556</v>
      </c>
      <c r="N31" s="14">
        <v>0.987690689110994</v>
      </c>
      <c r="O31" s="14">
        <v>0.988872403560831</v>
      </c>
      <c r="P31" s="14">
        <v>0.994913098770666</v>
      </c>
      <c r="Q31" s="10">
        <v>48.5583629719854</v>
      </c>
      <c r="R31" s="10">
        <v>74.278</v>
      </c>
      <c r="S31" s="14">
        <v>0.982947624847747</v>
      </c>
      <c r="T31" s="18">
        <v>27</v>
      </c>
      <c r="U31" s="18">
        <v>27</v>
      </c>
      <c r="V31" s="18">
        <v>0</v>
      </c>
      <c r="W31" s="14">
        <v>0</v>
      </c>
      <c r="X31" s="10">
        <v>16.7192125786164</v>
      </c>
      <c r="Y31" s="10">
        <v>22.666</v>
      </c>
      <c r="Z31" s="14">
        <v>0.981132075471698</v>
      </c>
      <c r="AA31" s="18">
        <v>27</v>
      </c>
      <c r="AB31" s="18">
        <v>27</v>
      </c>
      <c r="AC31" s="18">
        <v>0</v>
      </c>
      <c r="AD31" s="14">
        <v>0</v>
      </c>
      <c r="AE31" s="10">
        <v>-87.0643971014493</v>
      </c>
      <c r="AF31" s="10">
        <v>13.6802753623188</v>
      </c>
      <c r="AG31" s="14">
        <v>0.982758620689655</v>
      </c>
      <c r="AH31" s="14">
        <v>0.988505747126437</v>
      </c>
      <c r="AI31" s="14">
        <v>0.991304347826087</v>
      </c>
      <c r="AJ31" s="14">
        <v>0.997101449275362</v>
      </c>
      <c r="AK31" s="10">
        <v>48.7535813953488</v>
      </c>
      <c r="AL31" s="10">
        <v>73.328</v>
      </c>
      <c r="AM31" s="14">
        <v>0.992248062015504</v>
      </c>
      <c r="AN31" s="18">
        <v>27</v>
      </c>
      <c r="AO31" s="18">
        <v>27</v>
      </c>
      <c r="AP31" s="18">
        <v>0</v>
      </c>
      <c r="AQ31" s="14">
        <v>0</v>
      </c>
      <c r="AR31" s="10">
        <v>16.0527222222222</v>
      </c>
      <c r="AS31" s="10">
        <v>22.303</v>
      </c>
      <c r="AT31" s="14">
        <v>0.976190476190476</v>
      </c>
      <c r="AU31" s="18">
        <v>27</v>
      </c>
      <c r="AV31" s="18">
        <v>27</v>
      </c>
      <c r="AW31" s="18">
        <v>0</v>
      </c>
      <c r="AX31" s="14">
        <v>0</v>
      </c>
    </row>
    <row r="32" spans="1:50">
      <c r="A32" s="3" t="s">
        <v>51</v>
      </c>
      <c r="B32" s="6" t="s">
        <v>55</v>
      </c>
      <c r="C32" s="6" t="s">
        <v>49</v>
      </c>
      <c r="D32" s="6" t="s">
        <v>50</v>
      </c>
      <c r="E32" s="6">
        <v>3</v>
      </c>
      <c r="F32" s="12">
        <v>2.14353608834744</v>
      </c>
      <c r="G32" s="12">
        <v>0.539555555555556</v>
      </c>
      <c r="H32" s="12">
        <v>3.97278105336221</v>
      </c>
      <c r="I32" s="12">
        <v>0.525588888888889</v>
      </c>
      <c r="J32" s="16">
        <v>0.97411449752883</v>
      </c>
      <c r="K32" s="12">
        <v>-86.7809658780856</v>
      </c>
      <c r="L32" s="12">
        <v>11.3470583402253</v>
      </c>
      <c r="M32" s="16">
        <v>0.889948186528497</v>
      </c>
      <c r="N32" s="16">
        <v>0.93699481865285</v>
      </c>
      <c r="O32" s="16">
        <v>0.913422676026377</v>
      </c>
      <c r="P32" s="16">
        <v>0.9617102744097</v>
      </c>
      <c r="Q32" s="12">
        <v>42.0525095317287</v>
      </c>
      <c r="R32" s="12">
        <v>93.4867</v>
      </c>
      <c r="S32" s="16">
        <v>0.853391684901532</v>
      </c>
      <c r="T32" s="20">
        <v>15</v>
      </c>
      <c r="U32" s="20">
        <v>15</v>
      </c>
      <c r="V32" s="20">
        <v>0</v>
      </c>
      <c r="W32" s="16">
        <v>0</v>
      </c>
      <c r="X32" s="12">
        <v>17.3146732359081</v>
      </c>
      <c r="Y32" s="12">
        <v>30.72</v>
      </c>
      <c r="Z32" s="16">
        <v>0.954070981210856</v>
      </c>
      <c r="AA32" s="20">
        <v>16</v>
      </c>
      <c r="AB32" s="20">
        <v>16</v>
      </c>
      <c r="AC32" s="20">
        <v>0</v>
      </c>
      <c r="AD32" s="16">
        <v>0</v>
      </c>
      <c r="AE32" s="12">
        <v>-87.5344953306514</v>
      </c>
      <c r="AF32" s="12">
        <v>11.3997972762689</v>
      </c>
      <c r="AG32" s="16">
        <v>0.912087912087912</v>
      </c>
      <c r="AH32" s="16">
        <v>0.945054945054945</v>
      </c>
      <c r="AI32" s="16">
        <v>0.943181818181818</v>
      </c>
      <c r="AJ32" s="16">
        <v>0.977272727272727</v>
      </c>
      <c r="AK32" s="12">
        <v>39.1614328623101</v>
      </c>
      <c r="AL32" s="12">
        <v>91.0448368461538</v>
      </c>
      <c r="AM32" s="16">
        <v>0.857142857142857</v>
      </c>
      <c r="AN32" s="20">
        <v>15</v>
      </c>
      <c r="AO32" s="20">
        <v>15</v>
      </c>
      <c r="AP32" s="20">
        <v>0</v>
      </c>
      <c r="AQ32" s="16">
        <v>0</v>
      </c>
      <c r="AR32" s="12">
        <v>17.791509594209</v>
      </c>
      <c r="AS32" s="12">
        <v>30.8056918</v>
      </c>
      <c r="AT32" s="16">
        <v>0.941176470588235</v>
      </c>
      <c r="AU32" s="20">
        <v>16</v>
      </c>
      <c r="AV32" s="20">
        <v>16</v>
      </c>
      <c r="AW32" s="20">
        <v>0</v>
      </c>
      <c r="AX32" s="16">
        <v>0</v>
      </c>
    </row>
    <row r="33" spans="1:50">
      <c r="A33" s="3" t="s">
        <v>44</v>
      </c>
      <c r="B33" s="3" t="s">
        <v>48</v>
      </c>
      <c r="C33" s="4" t="s">
        <v>46</v>
      </c>
      <c r="D33" s="5" t="s">
        <v>53</v>
      </c>
      <c r="E33" s="7">
        <v>2</v>
      </c>
      <c r="F33" s="10"/>
      <c r="G33" s="10">
        <v>0.237</v>
      </c>
      <c r="H33" s="10"/>
      <c r="I33" s="10">
        <v>0.237</v>
      </c>
      <c r="J33" s="14">
        <v>1</v>
      </c>
      <c r="K33" s="10">
        <v>-86.7528780923994</v>
      </c>
      <c r="L33" s="10">
        <v>7.98498867362146</v>
      </c>
      <c r="M33" s="14">
        <v>1</v>
      </c>
      <c r="N33" s="14">
        <v>1</v>
      </c>
      <c r="O33" s="14">
        <v>1</v>
      </c>
      <c r="P33" s="14">
        <v>1</v>
      </c>
      <c r="Q33" s="10">
        <v>26.3182927631579</v>
      </c>
      <c r="R33" s="10">
        <v>32.692</v>
      </c>
      <c r="S33" s="14">
        <v>0.983552631578947</v>
      </c>
      <c r="T33" s="18">
        <v>10</v>
      </c>
      <c r="U33" s="18">
        <v>10</v>
      </c>
      <c r="V33" s="18">
        <v>0</v>
      </c>
      <c r="W33" s="14">
        <v>0</v>
      </c>
      <c r="X33" s="10">
        <v>21.77069</v>
      </c>
      <c r="Y33" s="10">
        <v>26.527</v>
      </c>
      <c r="Z33" s="14">
        <v>1</v>
      </c>
      <c r="AA33" s="18">
        <v>10</v>
      </c>
      <c r="AB33" s="18">
        <v>10</v>
      </c>
      <c r="AC33" s="18">
        <v>0</v>
      </c>
      <c r="AD33" s="14">
        <v>0</v>
      </c>
      <c r="AE33" s="10"/>
      <c r="AF33" s="10"/>
      <c r="AG33" s="14"/>
      <c r="AH33" s="14"/>
      <c r="AI33" s="14"/>
      <c r="AJ33" s="14"/>
      <c r="AK33" s="10"/>
      <c r="AL33" s="10"/>
      <c r="AM33" s="14"/>
      <c r="AN33" s="18"/>
      <c r="AO33" s="18"/>
      <c r="AP33" s="18"/>
      <c r="AQ33" s="14"/>
      <c r="AR33" s="10"/>
      <c r="AS33" s="10"/>
      <c r="AT33" s="14"/>
      <c r="AU33" s="18"/>
      <c r="AV33" s="18"/>
      <c r="AW33" s="18"/>
      <c r="AX33" s="14"/>
    </row>
    <row r="34" spans="1:50">
      <c r="A34" s="3" t="s">
        <v>44</v>
      </c>
      <c r="B34" s="3" t="s">
        <v>59</v>
      </c>
      <c r="C34" s="4" t="s">
        <v>46</v>
      </c>
      <c r="D34" s="5" t="s">
        <v>47</v>
      </c>
      <c r="E34" s="7">
        <v>1</v>
      </c>
      <c r="F34" s="10"/>
      <c r="G34" s="10">
        <v>0.241</v>
      </c>
      <c r="H34" s="10"/>
      <c r="I34" s="10">
        <v>0.241</v>
      </c>
      <c r="J34" s="14">
        <v>1</v>
      </c>
      <c r="K34" s="10">
        <v>-86.699169166859</v>
      </c>
      <c r="L34" s="10">
        <v>0.40087929840757</v>
      </c>
      <c r="M34" s="14">
        <v>0.999307639049158</v>
      </c>
      <c r="N34" s="14">
        <v>0.999307639049158</v>
      </c>
      <c r="O34" s="14">
        <v>0.999307639049158</v>
      </c>
      <c r="P34" s="14">
        <v>0.999307639049158</v>
      </c>
      <c r="Q34" s="10">
        <v>51.4110849673203</v>
      </c>
      <c r="R34" s="10">
        <v>55.694</v>
      </c>
      <c r="S34" s="14">
        <v>1</v>
      </c>
      <c r="T34" s="18">
        <v>10</v>
      </c>
      <c r="U34" s="18">
        <v>10</v>
      </c>
      <c r="V34" s="18">
        <v>0</v>
      </c>
      <c r="W34" s="14">
        <v>0</v>
      </c>
      <c r="X34" s="10">
        <v>75.8036533333333</v>
      </c>
      <c r="Y34" s="10">
        <v>81.606</v>
      </c>
      <c r="Z34" s="14">
        <v>1</v>
      </c>
      <c r="AA34" s="18">
        <v>10</v>
      </c>
      <c r="AB34" s="18">
        <v>10</v>
      </c>
      <c r="AC34" s="18">
        <v>0</v>
      </c>
      <c r="AD34" s="14">
        <v>0</v>
      </c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</row>
    <row r="35" spans="1:50">
      <c r="A35" s="3" t="s">
        <v>51</v>
      </c>
      <c r="B35" s="4" t="s">
        <v>62</v>
      </c>
      <c r="C35" s="4" t="s">
        <v>46</v>
      </c>
      <c r="D35" s="4" t="s">
        <v>47</v>
      </c>
      <c r="E35" s="5">
        <v>1</v>
      </c>
      <c r="F35" s="11"/>
      <c r="G35" s="11">
        <v>0.378833333333333</v>
      </c>
      <c r="H35" s="11"/>
      <c r="I35" s="11">
        <v>0.378805555555556</v>
      </c>
      <c r="J35" s="15">
        <v>0.999926675465611</v>
      </c>
      <c r="K35" s="11">
        <v>-86.6561061941462</v>
      </c>
      <c r="L35" s="11">
        <v>9.14632768295552</v>
      </c>
      <c r="M35" s="15">
        <v>1</v>
      </c>
      <c r="N35" s="15">
        <v>1</v>
      </c>
      <c r="O35" s="15">
        <v>1</v>
      </c>
      <c r="P35" s="15">
        <v>1</v>
      </c>
      <c r="Q35" s="11">
        <v>28.8945653866667</v>
      </c>
      <c r="R35" s="11">
        <v>40.3679</v>
      </c>
      <c r="S35" s="15">
        <v>0.916666666666667</v>
      </c>
      <c r="T35" s="19">
        <v>10</v>
      </c>
      <c r="U35" s="19">
        <v>10</v>
      </c>
      <c r="V35" s="19">
        <v>0</v>
      </c>
      <c r="W35" s="15">
        <v>0</v>
      </c>
      <c r="X35" s="11">
        <v>41.2754461</v>
      </c>
      <c r="Y35" s="11">
        <v>50.982</v>
      </c>
      <c r="Z35" s="15">
        <v>1</v>
      </c>
      <c r="AA35" s="19">
        <v>10</v>
      </c>
      <c r="AB35" s="19">
        <v>10</v>
      </c>
      <c r="AC35" s="19">
        <v>0</v>
      </c>
      <c r="AD35" s="15">
        <v>0</v>
      </c>
      <c r="AE35" s="11"/>
      <c r="AF35" s="11"/>
      <c r="AG35" s="15"/>
      <c r="AH35" s="15"/>
      <c r="AI35" s="15"/>
      <c r="AJ35" s="15"/>
      <c r="AK35" s="11"/>
      <c r="AL35" s="11"/>
      <c r="AM35" s="15"/>
      <c r="AN35" s="19"/>
      <c r="AO35" s="19"/>
      <c r="AP35" s="19"/>
      <c r="AQ35" s="15"/>
      <c r="AR35" s="11"/>
      <c r="AS35" s="11"/>
      <c r="AT35" s="15"/>
      <c r="AU35" s="19"/>
      <c r="AV35" s="19"/>
      <c r="AW35" s="19"/>
      <c r="AX35" s="15"/>
    </row>
    <row r="36" spans="1:50">
      <c r="A36" s="3" t="s">
        <v>51</v>
      </c>
      <c r="B36" s="6" t="s">
        <v>55</v>
      </c>
      <c r="C36" s="6" t="s">
        <v>49</v>
      </c>
      <c r="D36" s="6" t="s">
        <v>61</v>
      </c>
      <c r="E36" s="5">
        <v>2</v>
      </c>
      <c r="F36" s="11">
        <v>1.66221134400368</v>
      </c>
      <c r="G36" s="11">
        <v>0.349027777777778</v>
      </c>
      <c r="H36" s="11">
        <v>4.76240416905152</v>
      </c>
      <c r="I36" s="11">
        <v>0.254830833333333</v>
      </c>
      <c r="J36" s="15">
        <v>0.730116195781934</v>
      </c>
      <c r="K36" s="11">
        <v>-86.4564945509889</v>
      </c>
      <c r="L36" s="11">
        <v>12.6718625197307</v>
      </c>
      <c r="M36" s="15">
        <v>0.592486011191047</v>
      </c>
      <c r="N36" s="15">
        <v>0.701358912869704</v>
      </c>
      <c r="O36" s="15">
        <v>0.811295971978984</v>
      </c>
      <c r="P36" s="15">
        <v>0.960376532399299</v>
      </c>
      <c r="Q36" s="11">
        <v>25.2341946545455</v>
      </c>
      <c r="R36" s="11">
        <v>45.8568</v>
      </c>
      <c r="S36" s="15">
        <v>0.825454545454545</v>
      </c>
      <c r="T36" s="19">
        <v>10</v>
      </c>
      <c r="U36" s="19">
        <v>9</v>
      </c>
      <c r="V36" s="19">
        <v>0</v>
      </c>
      <c r="W36" s="15">
        <v>0</v>
      </c>
      <c r="X36" s="11">
        <v>8.797496816</v>
      </c>
      <c r="Y36" s="11">
        <v>13.4132</v>
      </c>
      <c r="Z36" s="15">
        <v>0.856</v>
      </c>
      <c r="AA36" s="19">
        <v>10</v>
      </c>
      <c r="AB36" s="19">
        <v>9</v>
      </c>
      <c r="AC36" s="19">
        <v>1</v>
      </c>
      <c r="AD36" s="15">
        <v>0.111111111111111</v>
      </c>
      <c r="AE36" s="11">
        <v>-90.2149473279515</v>
      </c>
      <c r="AF36" s="11">
        <v>10.6316074966276</v>
      </c>
      <c r="AG36" s="15">
        <v>0.552941176470588</v>
      </c>
      <c r="AH36" s="15">
        <v>0.694117647058824</v>
      </c>
      <c r="AI36" s="15">
        <v>0.770491803278688</v>
      </c>
      <c r="AJ36" s="15">
        <v>0.967213114754098</v>
      </c>
      <c r="AK36" s="11">
        <v>25.725510153502</v>
      </c>
      <c r="AL36" s="11">
        <v>47.387863875</v>
      </c>
      <c r="AM36" s="15">
        <v>0.88</v>
      </c>
      <c r="AN36" s="19">
        <v>10</v>
      </c>
      <c r="AO36" s="19">
        <v>9</v>
      </c>
      <c r="AP36" s="19">
        <v>0</v>
      </c>
      <c r="AQ36" s="15">
        <v>0</v>
      </c>
      <c r="AR36" s="11">
        <v>8.041170566956</v>
      </c>
      <c r="AS36" s="11">
        <v>13.0853332941176</v>
      </c>
      <c r="AT36" s="15">
        <v>0.863636363636364</v>
      </c>
      <c r="AU36" s="19">
        <v>10</v>
      </c>
      <c r="AV36" s="19">
        <v>9</v>
      </c>
      <c r="AW36" s="19">
        <v>1</v>
      </c>
      <c r="AX36" s="15">
        <v>0.111111111111111</v>
      </c>
    </row>
    <row r="37" spans="1:50">
      <c r="A37" s="3" t="s">
        <v>51</v>
      </c>
      <c r="B37" s="6" t="s">
        <v>52</v>
      </c>
      <c r="C37" s="6" t="s">
        <v>46</v>
      </c>
      <c r="D37" s="6" t="s">
        <v>57</v>
      </c>
      <c r="E37" s="4">
        <v>1</v>
      </c>
      <c r="F37" s="11" t="s">
        <v>54</v>
      </c>
      <c r="G37" s="11">
        <v>0.436297222222222</v>
      </c>
      <c r="H37" s="11" t="s">
        <v>54</v>
      </c>
      <c r="I37" s="11">
        <v>0.436272222222222</v>
      </c>
      <c r="J37" s="15">
        <v>0.999942699612267</v>
      </c>
      <c r="K37" s="11">
        <v>-86.1022073774922</v>
      </c>
      <c r="L37" s="11">
        <v>4.60143431124269</v>
      </c>
      <c r="M37" s="15">
        <v>0.997704081632653</v>
      </c>
      <c r="N37" s="15">
        <v>0.997704081632653</v>
      </c>
      <c r="O37" s="15">
        <v>0.997704081632653</v>
      </c>
      <c r="P37" s="15">
        <v>0.997704081632653</v>
      </c>
      <c r="Q37" s="11">
        <v>32.71280559</v>
      </c>
      <c r="R37" s="11">
        <v>42.054</v>
      </c>
      <c r="S37" s="15">
        <v>1</v>
      </c>
      <c r="T37" s="19">
        <v>10</v>
      </c>
      <c r="U37" s="19">
        <v>10</v>
      </c>
      <c r="V37" s="19">
        <v>0</v>
      </c>
      <c r="W37" s="15">
        <v>0</v>
      </c>
      <c r="X37" s="11">
        <v>46.1478893866667</v>
      </c>
      <c r="Y37" s="11">
        <v>64.0641</v>
      </c>
      <c r="Z37" s="15">
        <v>1</v>
      </c>
      <c r="AA37" s="19">
        <v>10</v>
      </c>
      <c r="AB37" s="19">
        <v>10</v>
      </c>
      <c r="AC37" s="19">
        <v>0</v>
      </c>
      <c r="AD37" s="15">
        <v>0</v>
      </c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</row>
    <row r="38" spans="1:50">
      <c r="A38" s="3" t="s">
        <v>51</v>
      </c>
      <c r="B38" s="6" t="s">
        <v>55</v>
      </c>
      <c r="C38" s="6" t="s">
        <v>49</v>
      </c>
      <c r="D38" s="6" t="s">
        <v>50</v>
      </c>
      <c r="E38" s="6">
        <v>2</v>
      </c>
      <c r="F38" s="12">
        <v>2.14353608834744</v>
      </c>
      <c r="G38" s="12">
        <v>0.539391666666667</v>
      </c>
      <c r="H38" s="12">
        <v>3.97398814407731</v>
      </c>
      <c r="I38" s="12">
        <v>0.539361111111111</v>
      </c>
      <c r="J38" s="16">
        <v>0.999943351821239</v>
      </c>
      <c r="K38" s="12">
        <v>-86.0887360008152</v>
      </c>
      <c r="L38" s="12">
        <v>11.0773778301208</v>
      </c>
      <c r="M38" s="16">
        <v>0.913839750260146</v>
      </c>
      <c r="N38" s="16">
        <v>0.960353798126951</v>
      </c>
      <c r="O38" s="16">
        <v>0.913839750260146</v>
      </c>
      <c r="P38" s="16">
        <v>0.960353798126951</v>
      </c>
      <c r="Q38" s="12">
        <v>39.5820582894737</v>
      </c>
      <c r="R38" s="12">
        <v>86.3529</v>
      </c>
      <c r="S38" s="16">
        <v>0.861842105263158</v>
      </c>
      <c r="T38" s="20">
        <v>16</v>
      </c>
      <c r="U38" s="20">
        <v>16</v>
      </c>
      <c r="V38" s="20">
        <v>0</v>
      </c>
      <c r="W38" s="16">
        <v>0</v>
      </c>
      <c r="X38" s="12">
        <v>15.9888967777778</v>
      </c>
      <c r="Y38" s="12">
        <v>30.4915</v>
      </c>
      <c r="Z38" s="16">
        <v>0.92</v>
      </c>
      <c r="AA38" s="20">
        <v>15</v>
      </c>
      <c r="AB38" s="20">
        <v>15</v>
      </c>
      <c r="AC38" s="20">
        <v>0</v>
      </c>
      <c r="AD38" s="16">
        <v>0</v>
      </c>
      <c r="AE38" s="12">
        <v>-86.6655315772745</v>
      </c>
      <c r="AF38" s="12">
        <v>11.1239677835452</v>
      </c>
      <c r="AG38" s="16">
        <v>0.966292134831461</v>
      </c>
      <c r="AH38" s="16">
        <v>1</v>
      </c>
      <c r="AI38" s="16">
        <v>0.966292134831461</v>
      </c>
      <c r="AJ38" s="16">
        <v>1</v>
      </c>
      <c r="AK38" s="12">
        <v>40.3392224175887</v>
      </c>
      <c r="AL38" s="12">
        <v>83.5314534</v>
      </c>
      <c r="AM38" s="16">
        <v>0.9</v>
      </c>
      <c r="AN38" s="20">
        <v>16</v>
      </c>
      <c r="AO38" s="20">
        <v>16</v>
      </c>
      <c r="AP38" s="20">
        <v>0</v>
      </c>
      <c r="AQ38" s="16">
        <v>0</v>
      </c>
      <c r="AR38" s="12">
        <v>15.1464406009362</v>
      </c>
      <c r="AS38" s="12">
        <v>30.1053067931034</v>
      </c>
      <c r="AT38" s="16">
        <v>0.974358974358974</v>
      </c>
      <c r="AU38" s="20">
        <v>15</v>
      </c>
      <c r="AV38" s="20">
        <v>15</v>
      </c>
      <c r="AW38" s="20">
        <v>0</v>
      </c>
      <c r="AX38" s="16">
        <v>0</v>
      </c>
    </row>
    <row r="39" spans="1:50">
      <c r="A39" s="3" t="s">
        <v>51</v>
      </c>
      <c r="B39" s="6" t="s">
        <v>52</v>
      </c>
      <c r="C39" s="6" t="s">
        <v>46</v>
      </c>
      <c r="D39" s="6" t="s">
        <v>53</v>
      </c>
      <c r="E39" s="4">
        <v>1</v>
      </c>
      <c r="F39" s="11" t="s">
        <v>54</v>
      </c>
      <c r="G39" s="11">
        <v>0.486441666666667</v>
      </c>
      <c r="H39" s="11" t="s">
        <v>54</v>
      </c>
      <c r="I39" s="11">
        <v>0.486416666666667</v>
      </c>
      <c r="J39" s="15">
        <v>0.999948606376236</v>
      </c>
      <c r="K39" s="11">
        <v>-85.9420566262449</v>
      </c>
      <c r="L39" s="11">
        <v>8.3232758650848</v>
      </c>
      <c r="M39" s="15">
        <v>0.986745886654479</v>
      </c>
      <c r="N39" s="15">
        <v>0.986745886654479</v>
      </c>
      <c r="O39" s="15">
        <v>0.986745886654479</v>
      </c>
      <c r="P39" s="15">
        <v>0.986745886654479</v>
      </c>
      <c r="Q39" s="11">
        <v>21.8364842266667</v>
      </c>
      <c r="R39" s="11">
        <v>31.1679</v>
      </c>
      <c r="S39" s="15">
        <v>0.883333333333333</v>
      </c>
      <c r="T39" s="19">
        <v>10</v>
      </c>
      <c r="U39" s="19">
        <v>10</v>
      </c>
      <c r="V39" s="19">
        <v>0</v>
      </c>
      <c r="W39" s="15">
        <v>0</v>
      </c>
      <c r="X39" s="11">
        <v>33.4755725133333</v>
      </c>
      <c r="Y39" s="11">
        <v>45.4855</v>
      </c>
      <c r="Z39" s="15">
        <v>1</v>
      </c>
      <c r="AA39" s="19">
        <v>10</v>
      </c>
      <c r="AB39" s="19">
        <v>10</v>
      </c>
      <c r="AC39" s="19">
        <v>0</v>
      </c>
      <c r="AD39" s="15">
        <v>0</v>
      </c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</row>
    <row r="40" spans="1:50">
      <c r="A40" s="3" t="s">
        <v>44</v>
      </c>
      <c r="B40" s="3" t="s">
        <v>48</v>
      </c>
      <c r="C40" s="4" t="s">
        <v>46</v>
      </c>
      <c r="D40" s="5" t="s">
        <v>53</v>
      </c>
      <c r="E40" s="7">
        <v>3</v>
      </c>
      <c r="F40" s="10"/>
      <c r="G40" s="10">
        <v>0.237</v>
      </c>
      <c r="H40" s="10"/>
      <c r="I40" s="10">
        <v>0.237</v>
      </c>
      <c r="J40" s="14">
        <v>1</v>
      </c>
      <c r="K40" s="10">
        <v>-85.8657176401526</v>
      </c>
      <c r="L40" s="10">
        <v>8.16608599941297</v>
      </c>
      <c r="M40" s="14">
        <v>1</v>
      </c>
      <c r="N40" s="14">
        <v>1</v>
      </c>
      <c r="O40" s="14">
        <v>1</v>
      </c>
      <c r="P40" s="14">
        <v>1</v>
      </c>
      <c r="Q40" s="10">
        <v>21.9643861386139</v>
      </c>
      <c r="R40" s="10">
        <v>33.021</v>
      </c>
      <c r="S40" s="14">
        <v>0.98019801980198</v>
      </c>
      <c r="T40" s="18">
        <v>10</v>
      </c>
      <c r="U40" s="18">
        <v>10</v>
      </c>
      <c r="V40" s="18">
        <v>0</v>
      </c>
      <c r="W40" s="14">
        <v>0</v>
      </c>
      <c r="X40" s="10">
        <v>20.43443</v>
      </c>
      <c r="Y40" s="10">
        <v>23.793</v>
      </c>
      <c r="Z40" s="14">
        <v>1</v>
      </c>
      <c r="AA40" s="18">
        <v>10</v>
      </c>
      <c r="AB40" s="18">
        <v>10</v>
      </c>
      <c r="AC40" s="18">
        <v>0</v>
      </c>
      <c r="AD40" s="14">
        <v>0</v>
      </c>
      <c r="AE40" s="10"/>
      <c r="AF40" s="10"/>
      <c r="AG40" s="14"/>
      <c r="AH40" s="14"/>
      <c r="AI40" s="14"/>
      <c r="AJ40" s="14"/>
      <c r="AK40" s="10"/>
      <c r="AL40" s="10"/>
      <c r="AM40" s="14"/>
      <c r="AN40" s="18"/>
      <c r="AO40" s="18"/>
      <c r="AP40" s="18"/>
      <c r="AQ40" s="14"/>
      <c r="AR40" s="10"/>
      <c r="AS40" s="10"/>
      <c r="AT40" s="14"/>
      <c r="AU40" s="18"/>
      <c r="AV40" s="18"/>
      <c r="AW40" s="18"/>
      <c r="AX40" s="14"/>
    </row>
    <row r="41" spans="1:50">
      <c r="A41" s="3" t="s">
        <v>44</v>
      </c>
      <c r="B41" s="3" t="s">
        <v>45</v>
      </c>
      <c r="C41" s="4" t="s">
        <v>46</v>
      </c>
      <c r="D41" s="5" t="s">
        <v>47</v>
      </c>
      <c r="E41" s="7">
        <v>1</v>
      </c>
      <c r="F41" s="10"/>
      <c r="G41" s="10">
        <v>0.242</v>
      </c>
      <c r="H41" s="10"/>
      <c r="I41" s="10">
        <v>0.242</v>
      </c>
      <c r="J41" s="14">
        <v>1</v>
      </c>
      <c r="K41" s="10">
        <v>-85.7997234385803</v>
      </c>
      <c r="L41" s="10">
        <v>19.9182666513021</v>
      </c>
      <c r="M41" s="14">
        <v>1</v>
      </c>
      <c r="N41" s="14">
        <v>1</v>
      </c>
      <c r="O41" s="14">
        <v>1</v>
      </c>
      <c r="P41" s="14">
        <v>1</v>
      </c>
      <c r="Q41" s="10">
        <v>58.2473550488599</v>
      </c>
      <c r="R41" s="10">
        <v>82.051</v>
      </c>
      <c r="S41" s="14">
        <v>0.993485342019544</v>
      </c>
      <c r="T41" s="18">
        <v>10</v>
      </c>
      <c r="U41" s="18">
        <v>10</v>
      </c>
      <c r="V41" s="18">
        <v>0</v>
      </c>
      <c r="W41" s="14">
        <v>0</v>
      </c>
      <c r="X41" s="10">
        <v>40.56052</v>
      </c>
      <c r="Y41" s="10">
        <v>47.338</v>
      </c>
      <c r="Z41" s="14">
        <v>1</v>
      </c>
      <c r="AA41" s="18">
        <v>10</v>
      </c>
      <c r="AB41" s="18">
        <v>10</v>
      </c>
      <c r="AC41" s="18">
        <v>0</v>
      </c>
      <c r="AD41" s="14">
        <v>0</v>
      </c>
      <c r="AE41" s="10"/>
      <c r="AF41" s="10"/>
      <c r="AG41" s="14"/>
      <c r="AH41" s="14"/>
      <c r="AI41" s="14"/>
      <c r="AJ41" s="14"/>
      <c r="AK41" s="10"/>
      <c r="AL41" s="10"/>
      <c r="AM41" s="14"/>
      <c r="AN41" s="18"/>
      <c r="AO41" s="18"/>
      <c r="AP41" s="18"/>
      <c r="AQ41" s="14"/>
      <c r="AR41" s="10"/>
      <c r="AS41" s="10"/>
      <c r="AT41" s="14"/>
      <c r="AU41" s="18"/>
      <c r="AV41" s="18"/>
      <c r="AW41" s="18"/>
      <c r="AX41" s="14"/>
    </row>
    <row r="42" spans="1:50">
      <c r="A42" s="3" t="s">
        <v>44</v>
      </c>
      <c r="B42" s="7" t="s">
        <v>60</v>
      </c>
      <c r="C42" s="4" t="s">
        <v>49</v>
      </c>
      <c r="D42" s="5" t="s">
        <v>50</v>
      </c>
      <c r="E42" s="7">
        <v>3</v>
      </c>
      <c r="F42" s="10">
        <v>2.442</v>
      </c>
      <c r="G42" s="10">
        <v>0.277</v>
      </c>
      <c r="H42" s="10">
        <v>8.8158844765343</v>
      </c>
      <c r="I42" s="10">
        <v>0.27358942919</v>
      </c>
      <c r="J42" s="14">
        <v>0.98768747</v>
      </c>
      <c r="K42" s="10">
        <v>-85.7587978271138</v>
      </c>
      <c r="L42" s="10">
        <v>5.2248058573453</v>
      </c>
      <c r="M42" s="14">
        <v>0.932246798603027</v>
      </c>
      <c r="N42" s="14">
        <v>0.932246798603027</v>
      </c>
      <c r="O42" s="14">
        <v>0.945677846008503</v>
      </c>
      <c r="P42" s="14">
        <v>0.945677846008503</v>
      </c>
      <c r="Q42" s="10">
        <v>14.8854626865672</v>
      </c>
      <c r="R42" s="10">
        <v>30.291</v>
      </c>
      <c r="S42" s="14">
        <v>0.564179104477612</v>
      </c>
      <c r="T42" s="18">
        <v>11</v>
      </c>
      <c r="U42" s="18">
        <v>11</v>
      </c>
      <c r="V42" s="18">
        <v>0</v>
      </c>
      <c r="W42" s="14">
        <v>0</v>
      </c>
      <c r="X42" s="10">
        <v>12.4478850574713</v>
      </c>
      <c r="Y42" s="10">
        <v>19.405</v>
      </c>
      <c r="Z42" s="14">
        <v>0.994252873563218</v>
      </c>
      <c r="AA42" s="18">
        <v>12</v>
      </c>
      <c r="AB42" s="18">
        <v>12</v>
      </c>
      <c r="AC42" s="18">
        <v>0</v>
      </c>
      <c r="AD42" s="14">
        <v>0</v>
      </c>
      <c r="AE42" s="10">
        <v>-85.8508874172185</v>
      </c>
      <c r="AF42" s="10">
        <v>3.82723178807947</v>
      </c>
      <c r="AG42" s="14">
        <v>0.902597402597403</v>
      </c>
      <c r="AH42" s="14">
        <v>0.902597402597403</v>
      </c>
      <c r="AI42" s="14">
        <v>0.920529801324503</v>
      </c>
      <c r="AJ42" s="14">
        <v>0.920529801324503</v>
      </c>
      <c r="AK42" s="10">
        <v>11.16914</v>
      </c>
      <c r="AL42" s="10">
        <v>24.611</v>
      </c>
      <c r="AM42" s="14">
        <v>0.44</v>
      </c>
      <c r="AN42" s="18">
        <v>11</v>
      </c>
      <c r="AO42" s="18">
        <v>11</v>
      </c>
      <c r="AP42" s="18">
        <v>0</v>
      </c>
      <c r="AQ42" s="14">
        <v>0</v>
      </c>
      <c r="AR42" s="10">
        <v>11.6741754385965</v>
      </c>
      <c r="AS42" s="10">
        <v>17.091</v>
      </c>
      <c r="AT42" s="14">
        <v>1</v>
      </c>
      <c r="AU42" s="18">
        <v>12</v>
      </c>
      <c r="AV42" s="18">
        <v>12</v>
      </c>
      <c r="AW42" s="18">
        <v>0</v>
      </c>
      <c r="AX42" s="14">
        <v>0</v>
      </c>
    </row>
    <row r="43" spans="1:50">
      <c r="A43" s="3" t="s">
        <v>44</v>
      </c>
      <c r="B43" s="3" t="s">
        <v>56</v>
      </c>
      <c r="C43" s="4" t="s">
        <v>49</v>
      </c>
      <c r="D43" s="5" t="s">
        <v>61</v>
      </c>
      <c r="E43" s="7">
        <v>3</v>
      </c>
      <c r="F43" s="10">
        <v>6.101</v>
      </c>
      <c r="G43" s="10">
        <v>0.568</v>
      </c>
      <c r="H43" s="10">
        <v>10.7411971830986</v>
      </c>
      <c r="I43" s="10">
        <v>0.568</v>
      </c>
      <c r="J43" s="14">
        <v>1</v>
      </c>
      <c r="K43" s="10">
        <v>-85.5870076789695</v>
      </c>
      <c r="L43" s="10">
        <v>11.3543337874659</v>
      </c>
      <c r="M43" s="14">
        <v>0.996036660886797</v>
      </c>
      <c r="N43" s="14">
        <v>0.997275204359673</v>
      </c>
      <c r="O43" s="14">
        <v>0.996036660886797</v>
      </c>
      <c r="P43" s="14">
        <v>0.997275204359673</v>
      </c>
      <c r="Q43" s="10">
        <v>45.8422794520548</v>
      </c>
      <c r="R43" s="10">
        <v>70.466</v>
      </c>
      <c r="S43" s="14">
        <v>0.961643835616438</v>
      </c>
      <c r="T43" s="18">
        <v>24</v>
      </c>
      <c r="U43" s="18">
        <v>24</v>
      </c>
      <c r="V43" s="18">
        <v>0</v>
      </c>
      <c r="W43" s="14">
        <v>0</v>
      </c>
      <c r="X43" s="10">
        <v>21.4012208333333</v>
      </c>
      <c r="Y43" s="10">
        <v>29.986</v>
      </c>
      <c r="Z43" s="14">
        <v>0.994444444444444</v>
      </c>
      <c r="AA43" s="18">
        <v>24</v>
      </c>
      <c r="AB43" s="18">
        <v>24</v>
      </c>
      <c r="AC43" s="18">
        <v>0</v>
      </c>
      <c r="AD43" s="14">
        <v>0</v>
      </c>
      <c r="AE43" s="10">
        <v>-86.5427188405797</v>
      </c>
      <c r="AF43" s="10">
        <v>11.0654231884058</v>
      </c>
      <c r="AG43" s="14">
        <v>1</v>
      </c>
      <c r="AH43" s="14">
        <v>1</v>
      </c>
      <c r="AI43" s="14">
        <v>1</v>
      </c>
      <c r="AJ43" s="14">
        <v>1</v>
      </c>
      <c r="AK43" s="10">
        <v>44.1478134328358</v>
      </c>
      <c r="AL43" s="10">
        <v>66.084</v>
      </c>
      <c r="AM43" s="14">
        <v>0.977611940298508</v>
      </c>
      <c r="AN43" s="18">
        <v>24</v>
      </c>
      <c r="AO43" s="18">
        <v>24</v>
      </c>
      <c r="AP43" s="18">
        <v>0</v>
      </c>
      <c r="AQ43" s="14">
        <v>0</v>
      </c>
      <c r="AR43" s="10">
        <v>19.9905811965812</v>
      </c>
      <c r="AS43" s="10">
        <v>28.445</v>
      </c>
      <c r="AT43" s="14">
        <v>1</v>
      </c>
      <c r="AU43" s="18">
        <v>24</v>
      </c>
      <c r="AV43" s="18">
        <v>24</v>
      </c>
      <c r="AW43" s="18">
        <v>0</v>
      </c>
      <c r="AX43" s="14">
        <v>0</v>
      </c>
    </row>
    <row r="44" spans="1:50">
      <c r="A44" s="3" t="s">
        <v>51</v>
      </c>
      <c r="B44" s="4" t="s">
        <v>62</v>
      </c>
      <c r="C44" s="4" t="s">
        <v>46</v>
      </c>
      <c r="D44" s="4" t="s">
        <v>53</v>
      </c>
      <c r="E44" s="5">
        <v>3</v>
      </c>
      <c r="F44" s="11"/>
      <c r="G44" s="11">
        <v>0.381805555555556</v>
      </c>
      <c r="H44" s="11"/>
      <c r="I44" s="11">
        <v>0.381775</v>
      </c>
      <c r="J44" s="15">
        <v>0.999919970898509</v>
      </c>
      <c r="K44" s="11">
        <v>-85.2949864621731</v>
      </c>
      <c r="L44" s="11">
        <v>7.57850342186314</v>
      </c>
      <c r="M44" s="15">
        <v>1</v>
      </c>
      <c r="N44" s="15">
        <v>1</v>
      </c>
      <c r="O44" s="15">
        <v>1</v>
      </c>
      <c r="P44" s="15">
        <v>1</v>
      </c>
      <c r="Q44" s="11">
        <v>15.87161003</v>
      </c>
      <c r="R44" s="11">
        <v>19.596</v>
      </c>
      <c r="S44" s="15">
        <v>0.973333333333333</v>
      </c>
      <c r="T44" s="19">
        <v>10</v>
      </c>
      <c r="U44" s="19">
        <v>10</v>
      </c>
      <c r="V44" s="19">
        <v>0</v>
      </c>
      <c r="W44" s="15">
        <v>0</v>
      </c>
      <c r="X44" s="11">
        <v>10.70471544</v>
      </c>
      <c r="Y44" s="11">
        <v>11.9115</v>
      </c>
      <c r="Z44" s="15">
        <v>1</v>
      </c>
      <c r="AA44" s="19">
        <v>10</v>
      </c>
      <c r="AB44" s="19">
        <v>10</v>
      </c>
      <c r="AC44" s="19">
        <v>0</v>
      </c>
      <c r="AD44" s="15">
        <v>0</v>
      </c>
      <c r="AE44" s="11"/>
      <c r="AF44" s="11"/>
      <c r="AG44" s="15"/>
      <c r="AH44" s="15"/>
      <c r="AI44" s="15"/>
      <c r="AJ44" s="15"/>
      <c r="AK44" s="11"/>
      <c r="AL44" s="11"/>
      <c r="AM44" s="15"/>
      <c r="AN44" s="19"/>
      <c r="AO44" s="19"/>
      <c r="AP44" s="19"/>
      <c r="AQ44" s="15"/>
      <c r="AR44" s="11"/>
      <c r="AS44" s="11"/>
      <c r="AT44" s="15"/>
      <c r="AU44" s="19"/>
      <c r="AV44" s="19"/>
      <c r="AW44" s="19"/>
      <c r="AX44" s="15"/>
    </row>
    <row r="45" spans="1:50">
      <c r="A45" s="3" t="s">
        <v>51</v>
      </c>
      <c r="B45" s="4" t="s">
        <v>62</v>
      </c>
      <c r="C45" s="4" t="s">
        <v>46</v>
      </c>
      <c r="D45" s="4" t="s">
        <v>53</v>
      </c>
      <c r="E45" s="5">
        <v>2</v>
      </c>
      <c r="F45" s="11"/>
      <c r="G45" s="11">
        <v>0.381644444444444</v>
      </c>
      <c r="H45" s="11"/>
      <c r="I45" s="11">
        <v>0.381613888888889</v>
      </c>
      <c r="J45" s="15">
        <v>0.999919937114242</v>
      </c>
      <c r="K45" s="11">
        <v>-85.0642975473918</v>
      </c>
      <c r="L45" s="11">
        <v>8.04070875096411</v>
      </c>
      <c r="M45" s="15">
        <v>1</v>
      </c>
      <c r="N45" s="15">
        <v>1</v>
      </c>
      <c r="O45" s="15">
        <v>1</v>
      </c>
      <c r="P45" s="15">
        <v>1</v>
      </c>
      <c r="Q45" s="11">
        <v>16.44981032</v>
      </c>
      <c r="R45" s="11">
        <v>20.6723</v>
      </c>
      <c r="S45" s="15">
        <v>0.963333333333333</v>
      </c>
      <c r="T45" s="19">
        <v>10</v>
      </c>
      <c r="U45" s="19">
        <v>10</v>
      </c>
      <c r="V45" s="19">
        <v>0</v>
      </c>
      <c r="W45" s="15">
        <v>0</v>
      </c>
      <c r="X45" s="11">
        <v>10.97402011</v>
      </c>
      <c r="Y45" s="11">
        <v>12.5933</v>
      </c>
      <c r="Z45" s="15">
        <v>1</v>
      </c>
      <c r="AA45" s="19">
        <v>10</v>
      </c>
      <c r="AB45" s="19">
        <v>10</v>
      </c>
      <c r="AC45" s="19">
        <v>0</v>
      </c>
      <c r="AD45" s="15">
        <v>0</v>
      </c>
      <c r="AE45" s="11"/>
      <c r="AF45" s="11"/>
      <c r="AG45" s="15"/>
      <c r="AH45" s="15"/>
      <c r="AI45" s="15"/>
      <c r="AJ45" s="15"/>
      <c r="AK45" s="11"/>
      <c r="AL45" s="11"/>
      <c r="AM45" s="15"/>
      <c r="AN45" s="19"/>
      <c r="AO45" s="19"/>
      <c r="AP45" s="19"/>
      <c r="AQ45" s="15"/>
      <c r="AR45" s="11"/>
      <c r="AS45" s="11"/>
      <c r="AT45" s="15"/>
      <c r="AU45" s="19"/>
      <c r="AV45" s="19"/>
      <c r="AW45" s="19"/>
      <c r="AX45" s="15"/>
    </row>
    <row r="46" spans="1:50">
      <c r="A46" s="3" t="s">
        <v>44</v>
      </c>
      <c r="B46" s="3" t="s">
        <v>56</v>
      </c>
      <c r="C46" s="4" t="s">
        <v>46</v>
      </c>
      <c r="D46" s="5" t="s">
        <v>47</v>
      </c>
      <c r="E46" s="7">
        <v>2</v>
      </c>
      <c r="F46" s="10"/>
      <c r="G46" s="10">
        <v>0.256</v>
      </c>
      <c r="H46" s="10"/>
      <c r="I46" s="10">
        <v>0.256</v>
      </c>
      <c r="J46" s="14">
        <v>1</v>
      </c>
      <c r="K46" s="10">
        <v>-84.9631289079229</v>
      </c>
      <c r="L46" s="10">
        <v>10.7986548179872</v>
      </c>
      <c r="M46" s="14">
        <v>0.994004282655246</v>
      </c>
      <c r="N46" s="14">
        <v>0.994004282655246</v>
      </c>
      <c r="O46" s="14">
        <v>0.994004282655246</v>
      </c>
      <c r="P46" s="14">
        <v>0.994004282655246</v>
      </c>
      <c r="Q46" s="10">
        <v>11.9584215686275</v>
      </c>
      <c r="R46" s="10">
        <v>17.615</v>
      </c>
      <c r="S46" s="14">
        <v>0.666666666666667</v>
      </c>
      <c r="T46" s="18">
        <v>10</v>
      </c>
      <c r="U46" s="18">
        <v>10</v>
      </c>
      <c r="V46" s="18">
        <v>0</v>
      </c>
      <c r="W46" s="14">
        <v>0</v>
      </c>
      <c r="X46" s="10">
        <v>7.56696666666667</v>
      </c>
      <c r="Y46" s="10">
        <v>10.744</v>
      </c>
      <c r="Z46" s="14">
        <v>0.973333333333333</v>
      </c>
      <c r="AA46" s="18">
        <v>10</v>
      </c>
      <c r="AB46" s="18">
        <v>10</v>
      </c>
      <c r="AC46" s="18">
        <v>0</v>
      </c>
      <c r="AD46" s="14">
        <v>0</v>
      </c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</row>
    <row r="47" spans="1:50">
      <c r="A47" s="3" t="s">
        <v>51</v>
      </c>
      <c r="B47" s="6" t="s">
        <v>55</v>
      </c>
      <c r="C47" s="6" t="s">
        <v>49</v>
      </c>
      <c r="D47" s="6" t="s">
        <v>50</v>
      </c>
      <c r="E47" s="6">
        <v>2</v>
      </c>
      <c r="F47" s="11">
        <v>2.08588175290823</v>
      </c>
      <c r="G47" s="11">
        <v>0.564413888888889</v>
      </c>
      <c r="H47" s="11">
        <v>3.69565985878646</v>
      </c>
      <c r="I47" s="11">
        <v>0.429044444444444</v>
      </c>
      <c r="J47" s="15">
        <v>0.760159260589894</v>
      </c>
      <c r="K47" s="11">
        <v>-84.9464510408336</v>
      </c>
      <c r="L47" s="11">
        <v>10.5463557994156</v>
      </c>
      <c r="M47" s="15">
        <v>0.719545903257651</v>
      </c>
      <c r="N47" s="15">
        <v>0.736525172754195</v>
      </c>
      <c r="O47" s="15">
        <v>0.946009085009734</v>
      </c>
      <c r="P47" s="15">
        <v>0.968332251784556</v>
      </c>
      <c r="Q47" s="11">
        <v>21.4992808854167</v>
      </c>
      <c r="R47" s="11">
        <v>36.9629</v>
      </c>
      <c r="S47" s="15">
        <v>0.775</v>
      </c>
      <c r="T47" s="19">
        <v>16</v>
      </c>
      <c r="U47" s="19">
        <v>16</v>
      </c>
      <c r="V47" s="19">
        <v>0</v>
      </c>
      <c r="W47" s="15">
        <v>0</v>
      </c>
      <c r="X47" s="11">
        <v>15.7811310729167</v>
      </c>
      <c r="Y47" s="11">
        <v>36.9353</v>
      </c>
      <c r="Z47" s="15">
        <v>0.897916666666667</v>
      </c>
      <c r="AA47" s="19">
        <v>16</v>
      </c>
      <c r="AB47" s="19">
        <v>16</v>
      </c>
      <c r="AC47" s="19">
        <v>0</v>
      </c>
      <c r="AD47" s="15">
        <v>0</v>
      </c>
      <c r="AE47" s="11">
        <v>-86.4135404734895</v>
      </c>
      <c r="AF47" s="11">
        <v>9.96835125391442</v>
      </c>
      <c r="AG47" s="15">
        <v>0.892857142857143</v>
      </c>
      <c r="AH47" s="15">
        <v>0.916666666666667</v>
      </c>
      <c r="AI47" s="15">
        <v>0.974025974025974</v>
      </c>
      <c r="AJ47" s="15">
        <v>1</v>
      </c>
      <c r="AK47" s="11">
        <v>19.7324963924161</v>
      </c>
      <c r="AL47" s="11">
        <v>34.5656765</v>
      </c>
      <c r="AM47" s="15">
        <v>0.764705882352941</v>
      </c>
      <c r="AN47" s="19">
        <v>16</v>
      </c>
      <c r="AO47" s="19">
        <v>16</v>
      </c>
      <c r="AP47" s="19">
        <v>0</v>
      </c>
      <c r="AQ47" s="15">
        <v>0</v>
      </c>
      <c r="AR47" s="11">
        <v>12.7644099211853</v>
      </c>
      <c r="AS47" s="11">
        <v>32.70518625</v>
      </c>
      <c r="AT47" s="15">
        <v>0.971428571428571</v>
      </c>
      <c r="AU47" s="19">
        <v>16</v>
      </c>
      <c r="AV47" s="19">
        <v>16</v>
      </c>
      <c r="AW47" s="19">
        <v>0</v>
      </c>
      <c r="AX47" s="15">
        <v>0</v>
      </c>
    </row>
    <row r="48" spans="1:50">
      <c r="A48" s="3" t="s">
        <v>51</v>
      </c>
      <c r="B48" s="5" t="s">
        <v>63</v>
      </c>
      <c r="C48" s="5" t="s">
        <v>46</v>
      </c>
      <c r="D48" s="5" t="s">
        <v>53</v>
      </c>
      <c r="E48" s="5">
        <v>2</v>
      </c>
      <c r="F48" s="11" t="s">
        <v>54</v>
      </c>
      <c r="G48" s="11">
        <v>0.370691666666667</v>
      </c>
      <c r="H48" s="11" t="s">
        <v>54</v>
      </c>
      <c r="I48" s="11">
        <v>0.370663888888889</v>
      </c>
      <c r="J48" s="15">
        <v>0.999925065006107</v>
      </c>
      <c r="K48" s="11">
        <v>-84.9306242422338</v>
      </c>
      <c r="L48" s="11">
        <v>11.0934629857567</v>
      </c>
      <c r="M48" s="15">
        <v>1</v>
      </c>
      <c r="N48" s="15">
        <v>1</v>
      </c>
      <c r="O48" s="15">
        <v>1</v>
      </c>
      <c r="P48" s="15">
        <v>1</v>
      </c>
      <c r="Q48" s="11">
        <v>35.6863003633333</v>
      </c>
      <c r="R48" s="11">
        <v>45.0634</v>
      </c>
      <c r="S48" s="15">
        <v>1</v>
      </c>
      <c r="T48" s="19">
        <v>10</v>
      </c>
      <c r="U48" s="19">
        <v>10</v>
      </c>
      <c r="V48" s="19">
        <v>0</v>
      </c>
      <c r="W48" s="15">
        <v>0</v>
      </c>
      <c r="X48" s="11">
        <v>19.80095652</v>
      </c>
      <c r="Y48" s="11">
        <v>21.3118</v>
      </c>
      <c r="Z48" s="15">
        <v>1</v>
      </c>
      <c r="AA48" s="19">
        <v>10</v>
      </c>
      <c r="AB48" s="19">
        <v>10</v>
      </c>
      <c r="AC48" s="19">
        <v>0</v>
      </c>
      <c r="AD48" s="15">
        <v>0</v>
      </c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</row>
    <row r="49" spans="1:50">
      <c r="A49" s="3" t="s">
        <v>51</v>
      </c>
      <c r="B49" s="5" t="s">
        <v>63</v>
      </c>
      <c r="C49" s="5" t="s">
        <v>46</v>
      </c>
      <c r="D49" s="5" t="s">
        <v>47</v>
      </c>
      <c r="E49" s="5">
        <v>1</v>
      </c>
      <c r="F49" s="11" t="s">
        <v>54</v>
      </c>
      <c r="G49" s="11">
        <v>0.384222222222222</v>
      </c>
      <c r="H49" s="11" t="s">
        <v>54</v>
      </c>
      <c r="I49" s="11">
        <v>0.384188888888889</v>
      </c>
      <c r="J49" s="15">
        <v>0.999913244650087</v>
      </c>
      <c r="K49" s="11">
        <v>-84.8802858940265</v>
      </c>
      <c r="L49" s="11">
        <v>17.3644793044023</v>
      </c>
      <c r="M49" s="15">
        <v>1</v>
      </c>
      <c r="N49" s="15">
        <v>1</v>
      </c>
      <c r="O49" s="15">
        <v>1</v>
      </c>
      <c r="P49" s="15">
        <v>1</v>
      </c>
      <c r="Q49" s="11">
        <v>55.8914653166667</v>
      </c>
      <c r="R49" s="11">
        <v>67.0502</v>
      </c>
      <c r="S49" s="15">
        <v>1</v>
      </c>
      <c r="T49" s="19">
        <v>10</v>
      </c>
      <c r="U49" s="19">
        <v>10</v>
      </c>
      <c r="V49" s="19">
        <v>0</v>
      </c>
      <c r="W49" s="15">
        <v>0</v>
      </c>
      <c r="X49" s="11">
        <v>14.9513165266667</v>
      </c>
      <c r="Y49" s="11">
        <v>17.8664</v>
      </c>
      <c r="Z49" s="15">
        <v>1</v>
      </c>
      <c r="AA49" s="19">
        <v>10</v>
      </c>
      <c r="AB49" s="19">
        <v>10</v>
      </c>
      <c r="AC49" s="19">
        <v>0</v>
      </c>
      <c r="AD49" s="15">
        <v>0</v>
      </c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</row>
    <row r="50" spans="1:50">
      <c r="A50" s="3" t="s">
        <v>44</v>
      </c>
      <c r="B50" s="3" t="s">
        <v>56</v>
      </c>
      <c r="C50" s="4" t="s">
        <v>49</v>
      </c>
      <c r="D50" s="5" t="s">
        <v>61</v>
      </c>
      <c r="E50" s="7">
        <v>2</v>
      </c>
      <c r="F50" s="10">
        <v>6.101</v>
      </c>
      <c r="G50" s="10">
        <v>0.568</v>
      </c>
      <c r="H50" s="10">
        <v>10.7411971830986</v>
      </c>
      <c r="I50" s="10">
        <v>0.568</v>
      </c>
      <c r="J50" s="14">
        <v>1</v>
      </c>
      <c r="K50" s="10">
        <v>-84.7626757178902</v>
      </c>
      <c r="L50" s="10">
        <v>11.5261089751292</v>
      </c>
      <c r="M50" s="14">
        <v>0.992310464976571</v>
      </c>
      <c r="N50" s="14">
        <v>0.993151507869758</v>
      </c>
      <c r="O50" s="14">
        <v>0.992310464976571</v>
      </c>
      <c r="P50" s="14">
        <v>0.993151507869758</v>
      </c>
      <c r="Q50" s="10">
        <v>45.7186298342541</v>
      </c>
      <c r="R50" s="10">
        <v>65.795</v>
      </c>
      <c r="S50" s="14">
        <v>0.954419889502762</v>
      </c>
      <c r="T50" s="18">
        <v>24</v>
      </c>
      <c r="U50" s="18">
        <v>24</v>
      </c>
      <c r="V50" s="18">
        <v>0</v>
      </c>
      <c r="W50" s="14">
        <v>0</v>
      </c>
      <c r="X50" s="10">
        <v>21.3056573816156</v>
      </c>
      <c r="Y50" s="10">
        <v>30.141</v>
      </c>
      <c r="Z50" s="14">
        <v>0.995821727019499</v>
      </c>
      <c r="AA50" s="18">
        <v>24</v>
      </c>
      <c r="AB50" s="18">
        <v>24</v>
      </c>
      <c r="AC50" s="18">
        <v>0</v>
      </c>
      <c r="AD50" s="14">
        <v>0</v>
      </c>
      <c r="AE50" s="10">
        <v>-85.6955174418605</v>
      </c>
      <c r="AF50" s="10">
        <v>10.9470406976744</v>
      </c>
      <c r="AG50" s="14">
        <v>1</v>
      </c>
      <c r="AH50" s="14">
        <v>1</v>
      </c>
      <c r="AI50" s="14">
        <v>1</v>
      </c>
      <c r="AJ50" s="14">
        <v>1</v>
      </c>
      <c r="AK50" s="10">
        <v>43.1781034482759</v>
      </c>
      <c r="AL50" s="10">
        <v>60.095</v>
      </c>
      <c r="AM50" s="14">
        <v>1</v>
      </c>
      <c r="AN50" s="18">
        <v>24</v>
      </c>
      <c r="AO50" s="18">
        <v>24</v>
      </c>
      <c r="AP50" s="18">
        <v>0</v>
      </c>
      <c r="AQ50" s="14">
        <v>0</v>
      </c>
      <c r="AR50" s="10">
        <v>20.4635882352941</v>
      </c>
      <c r="AS50" s="10">
        <v>28.887</v>
      </c>
      <c r="AT50" s="14">
        <v>1</v>
      </c>
      <c r="AU50" s="18">
        <v>24</v>
      </c>
      <c r="AV50" s="18">
        <v>24</v>
      </c>
      <c r="AW50" s="18">
        <v>0</v>
      </c>
      <c r="AX50" s="14">
        <v>0</v>
      </c>
    </row>
    <row r="51" spans="1:50">
      <c r="A51" s="3" t="s">
        <v>51</v>
      </c>
      <c r="B51" s="4" t="s">
        <v>58</v>
      </c>
      <c r="C51" s="6" t="s">
        <v>49</v>
      </c>
      <c r="D51" s="6" t="s">
        <v>61</v>
      </c>
      <c r="E51" s="4">
        <v>2</v>
      </c>
      <c r="F51" s="11">
        <v>2.05306912571192</v>
      </c>
      <c r="G51" s="11">
        <v>0.317113888888889</v>
      </c>
      <c r="H51" s="11">
        <v>6.47423275248369</v>
      </c>
      <c r="I51" s="11">
        <v>0.309313888888889</v>
      </c>
      <c r="J51" s="15">
        <v>0.975403158696928</v>
      </c>
      <c r="K51" s="11">
        <v>-84.6780362881117</v>
      </c>
      <c r="L51" s="11">
        <v>8.58076734215368</v>
      </c>
      <c r="M51" s="15">
        <v>0.913308913308913</v>
      </c>
      <c r="N51" s="15">
        <v>0.9427873713588</v>
      </c>
      <c r="O51" s="15">
        <v>0.943593440259506</v>
      </c>
      <c r="P51" s="15">
        <v>0.974049378266354</v>
      </c>
      <c r="Q51" s="11">
        <v>46.5878141860465</v>
      </c>
      <c r="R51" s="11">
        <v>73.9669</v>
      </c>
      <c r="S51" s="15">
        <v>0.988372093023256</v>
      </c>
      <c r="T51" s="19">
        <v>9</v>
      </c>
      <c r="U51" s="19">
        <v>9</v>
      </c>
      <c r="V51" s="19">
        <v>0</v>
      </c>
      <c r="W51" s="15">
        <v>0</v>
      </c>
      <c r="X51" s="11">
        <v>19.4990494333333</v>
      </c>
      <c r="Y51" s="11">
        <v>23.3834</v>
      </c>
      <c r="Z51" s="15">
        <v>0.925</v>
      </c>
      <c r="AA51" s="19">
        <v>8</v>
      </c>
      <c r="AB51" s="19">
        <v>8</v>
      </c>
      <c r="AC51" s="19">
        <v>0</v>
      </c>
      <c r="AD51" s="15">
        <v>0</v>
      </c>
      <c r="AE51" s="11">
        <v>-82.7726975273705</v>
      </c>
      <c r="AF51" s="11">
        <v>10.5805794613476</v>
      </c>
      <c r="AG51" s="15">
        <v>0.941176470588235</v>
      </c>
      <c r="AH51" s="15">
        <v>0.941176470588235</v>
      </c>
      <c r="AI51" s="15">
        <v>1</v>
      </c>
      <c r="AJ51" s="15">
        <v>1</v>
      </c>
      <c r="AK51" s="11">
        <v>49.9657868473794</v>
      </c>
      <c r="AL51" s="11">
        <v>83.115072</v>
      </c>
      <c r="AM51" s="15">
        <v>1</v>
      </c>
      <c r="AN51" s="19">
        <v>9</v>
      </c>
      <c r="AO51" s="19">
        <v>9</v>
      </c>
      <c r="AP51" s="19">
        <v>0</v>
      </c>
      <c r="AQ51" s="15">
        <v>0</v>
      </c>
      <c r="AR51" s="11">
        <v>21.0703141732004</v>
      </c>
      <c r="AS51" s="11">
        <v>23.3055806666667</v>
      </c>
      <c r="AT51" s="15">
        <v>1</v>
      </c>
      <c r="AU51" s="19">
        <v>8</v>
      </c>
      <c r="AV51" s="19">
        <v>8</v>
      </c>
      <c r="AW51" s="19">
        <v>0</v>
      </c>
      <c r="AX51" s="15">
        <v>0</v>
      </c>
    </row>
    <row r="52" spans="1:50">
      <c r="A52" s="3" t="s">
        <v>51</v>
      </c>
      <c r="B52" s="6" t="s">
        <v>55</v>
      </c>
      <c r="C52" s="6" t="s">
        <v>49</v>
      </c>
      <c r="D52" s="6" t="s">
        <v>61</v>
      </c>
      <c r="E52" s="5">
        <v>3</v>
      </c>
      <c r="F52" s="11">
        <v>1.66221134400368</v>
      </c>
      <c r="G52" s="11">
        <v>0.349191666666667</v>
      </c>
      <c r="H52" s="11">
        <v>4.76016899220679</v>
      </c>
      <c r="I52" s="11">
        <v>0.2192325</v>
      </c>
      <c r="J52" s="15">
        <v>0.627828556427941</v>
      </c>
      <c r="K52" s="11">
        <v>-84.6522095552983</v>
      </c>
      <c r="L52" s="11">
        <v>14.7751134560542</v>
      </c>
      <c r="M52" s="15">
        <v>0.5493316359007</v>
      </c>
      <c r="N52" s="15">
        <v>0.609325270528326</v>
      </c>
      <c r="O52" s="15">
        <v>0.875697615423643</v>
      </c>
      <c r="P52" s="15">
        <v>0.971334348046677</v>
      </c>
      <c r="Q52" s="11">
        <v>24.9621462366667</v>
      </c>
      <c r="R52" s="11">
        <v>45.3326</v>
      </c>
      <c r="S52" s="15">
        <v>0.883333333333333</v>
      </c>
      <c r="T52" s="19">
        <v>10</v>
      </c>
      <c r="U52" s="19">
        <v>10</v>
      </c>
      <c r="V52" s="19">
        <v>0</v>
      </c>
      <c r="W52" s="15">
        <v>0</v>
      </c>
      <c r="X52" s="11">
        <v>9.16380368333333</v>
      </c>
      <c r="Y52" s="11">
        <v>13.9821</v>
      </c>
      <c r="Z52" s="15">
        <v>0.913333333333333</v>
      </c>
      <c r="AA52" s="19">
        <v>10</v>
      </c>
      <c r="AB52" s="19">
        <v>10</v>
      </c>
      <c r="AC52" s="19">
        <v>0</v>
      </c>
      <c r="AD52" s="15">
        <v>0</v>
      </c>
      <c r="AE52" s="11">
        <v>-88.7073830213794</v>
      </c>
      <c r="AF52" s="11">
        <v>12.8441862891633</v>
      </c>
      <c r="AG52" s="15">
        <v>0.51685393258427</v>
      </c>
      <c r="AH52" s="15">
        <v>0.584269662921348</v>
      </c>
      <c r="AI52" s="15">
        <v>0.867924528301887</v>
      </c>
      <c r="AJ52" s="15">
        <v>0.981132075471698</v>
      </c>
      <c r="AK52" s="11">
        <v>24.6742776993673</v>
      </c>
      <c r="AL52" s="11">
        <v>42.86368</v>
      </c>
      <c r="AM52" s="15">
        <v>0.903225806451613</v>
      </c>
      <c r="AN52" s="19">
        <v>10</v>
      </c>
      <c r="AO52" s="19">
        <v>10</v>
      </c>
      <c r="AP52" s="19">
        <v>0</v>
      </c>
      <c r="AQ52" s="15">
        <v>0</v>
      </c>
      <c r="AR52" s="11">
        <v>9.50461661404222</v>
      </c>
      <c r="AS52" s="11">
        <v>14.5566516666667</v>
      </c>
      <c r="AT52" s="15">
        <v>0.933333333333333</v>
      </c>
      <c r="AU52" s="19">
        <v>10</v>
      </c>
      <c r="AV52" s="19">
        <v>10</v>
      </c>
      <c r="AW52" s="19">
        <v>0</v>
      </c>
      <c r="AX52" s="15">
        <v>0</v>
      </c>
    </row>
    <row r="53" spans="1:50">
      <c r="A53" s="3" t="s">
        <v>44</v>
      </c>
      <c r="B53" s="7" t="s">
        <v>60</v>
      </c>
      <c r="C53" s="4" t="s">
        <v>49</v>
      </c>
      <c r="D53" s="5" t="s">
        <v>50</v>
      </c>
      <c r="E53" s="7">
        <v>3</v>
      </c>
      <c r="F53" s="10">
        <v>2.505</v>
      </c>
      <c r="G53" s="10">
        <v>0.519</v>
      </c>
      <c r="H53" s="10">
        <v>4.82658959537572</v>
      </c>
      <c r="I53" s="10">
        <v>0.49829415765</v>
      </c>
      <c r="J53" s="14">
        <v>0.96010435</v>
      </c>
      <c r="K53" s="10">
        <v>-84.5682835900159</v>
      </c>
      <c r="L53" s="10">
        <v>9.7160687732342</v>
      </c>
      <c r="M53" s="14">
        <v>0.921578547938275</v>
      </c>
      <c r="N53" s="14">
        <v>0.923475841133316</v>
      </c>
      <c r="O53" s="14">
        <v>0.967339352097716</v>
      </c>
      <c r="P53" s="14">
        <v>0.969330855018587</v>
      </c>
      <c r="Q53" s="10">
        <v>45.7551244239631</v>
      </c>
      <c r="R53" s="10">
        <v>86.555</v>
      </c>
      <c r="S53" s="14">
        <v>0.941628264208909</v>
      </c>
      <c r="T53" s="18">
        <v>22</v>
      </c>
      <c r="U53" s="18">
        <v>22</v>
      </c>
      <c r="V53" s="18">
        <v>0</v>
      </c>
      <c r="W53" s="14">
        <v>0</v>
      </c>
      <c r="X53" s="10">
        <v>21.5548628389155</v>
      </c>
      <c r="Y53" s="10">
        <v>24.005</v>
      </c>
      <c r="Z53" s="14">
        <v>0.998405103668262</v>
      </c>
      <c r="AA53" s="18">
        <v>22</v>
      </c>
      <c r="AB53" s="18">
        <v>22</v>
      </c>
      <c r="AC53" s="18">
        <v>0</v>
      </c>
      <c r="AD53" s="14">
        <v>0</v>
      </c>
      <c r="AE53" s="10">
        <v>-83.9513806451613</v>
      </c>
      <c r="AF53" s="10">
        <v>10.0121096774194</v>
      </c>
      <c r="AG53" s="14">
        <v>0.926829268292683</v>
      </c>
      <c r="AH53" s="14">
        <v>0.926829268292683</v>
      </c>
      <c r="AI53" s="14">
        <v>0.980645161290323</v>
      </c>
      <c r="AJ53" s="14">
        <v>0.980645161290323</v>
      </c>
      <c r="AK53" s="10">
        <v>44.1537777777778</v>
      </c>
      <c r="AL53" s="10">
        <v>83.7</v>
      </c>
      <c r="AM53" s="14">
        <v>0.952380952380952</v>
      </c>
      <c r="AN53" s="18">
        <v>22</v>
      </c>
      <c r="AO53" s="18">
        <v>22</v>
      </c>
      <c r="AP53" s="18">
        <v>0</v>
      </c>
      <c r="AQ53" s="14">
        <v>0</v>
      </c>
      <c r="AR53" s="10">
        <v>20.8859166666667</v>
      </c>
      <c r="AS53" s="10">
        <v>23.749</v>
      </c>
      <c r="AT53" s="14">
        <v>1</v>
      </c>
      <c r="AU53" s="18">
        <v>22</v>
      </c>
      <c r="AV53" s="18">
        <v>22</v>
      </c>
      <c r="AW53" s="18">
        <v>0</v>
      </c>
      <c r="AX53" s="14">
        <v>0</v>
      </c>
    </row>
    <row r="54" spans="1:50">
      <c r="A54" s="3" t="s">
        <v>51</v>
      </c>
      <c r="B54" s="5" t="s">
        <v>63</v>
      </c>
      <c r="C54" s="5" t="s">
        <v>46</v>
      </c>
      <c r="D54" s="5" t="s">
        <v>53</v>
      </c>
      <c r="E54" s="5">
        <v>1</v>
      </c>
      <c r="F54" s="11" t="s">
        <v>54</v>
      </c>
      <c r="G54" s="11">
        <v>0.411277777777778</v>
      </c>
      <c r="H54" s="11" t="s">
        <v>54</v>
      </c>
      <c r="I54" s="11">
        <v>0.41125</v>
      </c>
      <c r="J54" s="15">
        <v>0.999932459813589</v>
      </c>
      <c r="K54" s="11">
        <v>-84.283662706815</v>
      </c>
      <c r="L54" s="11">
        <v>11.9649152289729</v>
      </c>
      <c r="M54" s="15">
        <v>1</v>
      </c>
      <c r="N54" s="15">
        <v>1</v>
      </c>
      <c r="O54" s="15">
        <v>1</v>
      </c>
      <c r="P54" s="15">
        <v>1</v>
      </c>
      <c r="Q54" s="11">
        <v>93.4398125333333</v>
      </c>
      <c r="R54" s="11">
        <v>104.106</v>
      </c>
      <c r="S54" s="15">
        <v>1</v>
      </c>
      <c r="T54" s="19">
        <v>10</v>
      </c>
      <c r="U54" s="19">
        <v>10</v>
      </c>
      <c r="V54" s="19">
        <v>0</v>
      </c>
      <c r="W54" s="15">
        <v>0</v>
      </c>
      <c r="X54" s="11">
        <v>29.00554039</v>
      </c>
      <c r="Y54" s="11">
        <v>32.1912</v>
      </c>
      <c r="Z54" s="15">
        <v>1</v>
      </c>
      <c r="AA54" s="19">
        <v>10</v>
      </c>
      <c r="AB54" s="19">
        <v>10</v>
      </c>
      <c r="AC54" s="19">
        <v>0</v>
      </c>
      <c r="AD54" s="15">
        <v>0</v>
      </c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</row>
    <row r="55" spans="1:50">
      <c r="A55" s="3" t="s">
        <v>51</v>
      </c>
      <c r="B55" s="5" t="s">
        <v>63</v>
      </c>
      <c r="C55" s="5" t="s">
        <v>46</v>
      </c>
      <c r="D55" s="5" t="s">
        <v>53</v>
      </c>
      <c r="E55" s="5">
        <v>3</v>
      </c>
      <c r="F55" s="11" t="s">
        <v>54</v>
      </c>
      <c r="G55" s="11">
        <v>0.370877777777778</v>
      </c>
      <c r="H55" s="11" t="s">
        <v>54</v>
      </c>
      <c r="I55" s="11">
        <v>0.370847222222222</v>
      </c>
      <c r="J55" s="15">
        <v>0.999917612870368</v>
      </c>
      <c r="K55" s="11">
        <v>-83.9379522131501</v>
      </c>
      <c r="L55" s="11">
        <v>12.5366540210538</v>
      </c>
      <c r="M55" s="15">
        <v>0.999850119904077</v>
      </c>
      <c r="N55" s="15">
        <v>1</v>
      </c>
      <c r="O55" s="15">
        <v>0.999850119904077</v>
      </c>
      <c r="P55" s="15">
        <v>1</v>
      </c>
      <c r="Q55" s="11">
        <v>38.5700867566667</v>
      </c>
      <c r="R55" s="11">
        <v>48.6766</v>
      </c>
      <c r="S55" s="15">
        <v>1</v>
      </c>
      <c r="T55" s="19">
        <v>10</v>
      </c>
      <c r="U55" s="19">
        <v>10</v>
      </c>
      <c r="V55" s="19">
        <v>0</v>
      </c>
      <c r="W55" s="15">
        <v>0</v>
      </c>
      <c r="X55" s="11">
        <v>20.5250055133333</v>
      </c>
      <c r="Y55" s="11">
        <v>21.7166</v>
      </c>
      <c r="Z55" s="15">
        <v>1</v>
      </c>
      <c r="AA55" s="19">
        <v>10</v>
      </c>
      <c r="AB55" s="19">
        <v>10</v>
      </c>
      <c r="AC55" s="19">
        <v>0</v>
      </c>
      <c r="AD55" s="15">
        <v>0</v>
      </c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</row>
    <row r="56" spans="1:50">
      <c r="A56" s="3" t="s">
        <v>44</v>
      </c>
      <c r="B56" s="7" t="s">
        <v>60</v>
      </c>
      <c r="C56" s="4" t="s">
        <v>49</v>
      </c>
      <c r="D56" s="5" t="s">
        <v>50</v>
      </c>
      <c r="E56" s="7">
        <v>2</v>
      </c>
      <c r="F56" s="10">
        <v>2.442</v>
      </c>
      <c r="G56" s="10">
        <v>0.277</v>
      </c>
      <c r="H56" s="10">
        <v>8.8158844765343</v>
      </c>
      <c r="I56" s="10">
        <v>0.27408689072</v>
      </c>
      <c r="J56" s="14">
        <v>0.98948336</v>
      </c>
      <c r="K56" s="10">
        <v>-83.9275791253926</v>
      </c>
      <c r="L56" s="10">
        <v>6.3716429089152</v>
      </c>
      <c r="M56" s="14">
        <v>0.943702290076336</v>
      </c>
      <c r="N56" s="14">
        <v>0.944417938931298</v>
      </c>
      <c r="O56" s="14">
        <v>0.955786421841024</v>
      </c>
      <c r="P56" s="14">
        <v>0.956511234597729</v>
      </c>
      <c r="Q56" s="10">
        <v>16.9660223463687</v>
      </c>
      <c r="R56" s="10">
        <v>31.272</v>
      </c>
      <c r="S56" s="14">
        <v>0.628491620111732</v>
      </c>
      <c r="T56" s="18">
        <v>12</v>
      </c>
      <c r="U56" s="18">
        <v>12</v>
      </c>
      <c r="V56" s="18">
        <v>0</v>
      </c>
      <c r="W56" s="14">
        <v>0</v>
      </c>
      <c r="X56" s="10">
        <v>11.3999546827795</v>
      </c>
      <c r="Y56" s="10">
        <v>18.268</v>
      </c>
      <c r="Z56" s="14">
        <v>0.97583081570997</v>
      </c>
      <c r="AA56" s="18">
        <v>11</v>
      </c>
      <c r="AB56" s="18">
        <v>11</v>
      </c>
      <c r="AC56" s="18">
        <v>0</v>
      </c>
      <c r="AD56" s="14">
        <v>0</v>
      </c>
      <c r="AE56" s="10">
        <v>-84.1761324503311</v>
      </c>
      <c r="AF56" s="10">
        <v>4.9852582781457</v>
      </c>
      <c r="AG56" s="14">
        <v>0.916129032258065</v>
      </c>
      <c r="AH56" s="14">
        <v>0.916129032258065</v>
      </c>
      <c r="AI56" s="14">
        <v>0.940397350993378</v>
      </c>
      <c r="AJ56" s="14">
        <v>0.940397350993378</v>
      </c>
      <c r="AK56" s="10">
        <v>15.4726181818182</v>
      </c>
      <c r="AL56" s="10">
        <v>28.879</v>
      </c>
      <c r="AM56" s="14">
        <v>0.527272727272727</v>
      </c>
      <c r="AN56" s="18">
        <v>12</v>
      </c>
      <c r="AO56" s="18">
        <v>12</v>
      </c>
      <c r="AP56" s="18">
        <v>0</v>
      </c>
      <c r="AQ56" s="14">
        <v>0</v>
      </c>
      <c r="AR56" s="10">
        <v>10.519</v>
      </c>
      <c r="AS56" s="10">
        <v>13.902</v>
      </c>
      <c r="AT56" s="14">
        <v>1</v>
      </c>
      <c r="AU56" s="18">
        <v>11</v>
      </c>
      <c r="AV56" s="18">
        <v>11</v>
      </c>
      <c r="AW56" s="18">
        <v>0</v>
      </c>
      <c r="AX56" s="14">
        <v>0</v>
      </c>
    </row>
    <row r="57" spans="1:50">
      <c r="A57" s="3" t="s">
        <v>44</v>
      </c>
      <c r="B57" s="7" t="s">
        <v>60</v>
      </c>
      <c r="C57" s="4" t="s">
        <v>46</v>
      </c>
      <c r="D57" s="5" t="s">
        <v>53</v>
      </c>
      <c r="E57" s="7">
        <v>1</v>
      </c>
      <c r="F57" s="10"/>
      <c r="G57" s="10">
        <v>0.24</v>
      </c>
      <c r="H57" s="10"/>
      <c r="I57" s="10">
        <v>0.24</v>
      </c>
      <c r="J57" s="14">
        <v>1</v>
      </c>
      <c r="K57" s="10">
        <v>-83.5055660421004</v>
      </c>
      <c r="L57" s="10">
        <v>2.35721235253296</v>
      </c>
      <c r="M57" s="14">
        <v>0.995836224843858</v>
      </c>
      <c r="N57" s="14">
        <v>0.995836224843858</v>
      </c>
      <c r="O57" s="14">
        <v>0.995836224843858</v>
      </c>
      <c r="P57" s="14">
        <v>0.995836224843858</v>
      </c>
      <c r="Q57" s="10">
        <v>61.5957810218978</v>
      </c>
      <c r="R57" s="10">
        <v>70.466</v>
      </c>
      <c r="S57" s="14">
        <v>1</v>
      </c>
      <c r="T57" s="18">
        <v>9</v>
      </c>
      <c r="U57" s="18">
        <v>9</v>
      </c>
      <c r="V57" s="18">
        <v>0</v>
      </c>
      <c r="W57" s="14">
        <v>0</v>
      </c>
      <c r="X57" s="10">
        <v>43.40705</v>
      </c>
      <c r="Y57" s="10">
        <v>51.497</v>
      </c>
      <c r="Z57" s="14">
        <v>1</v>
      </c>
      <c r="AA57" s="18">
        <v>10</v>
      </c>
      <c r="AB57" s="18">
        <v>10</v>
      </c>
      <c r="AC57" s="18">
        <v>0</v>
      </c>
      <c r="AD57" s="14">
        <v>0</v>
      </c>
      <c r="AE57" s="10"/>
      <c r="AF57" s="10"/>
      <c r="AG57" s="14"/>
      <c r="AH57" s="14"/>
      <c r="AI57" s="14"/>
      <c r="AJ57" s="14"/>
      <c r="AK57" s="10"/>
      <c r="AL57" s="10"/>
      <c r="AM57" s="14"/>
      <c r="AN57" s="18"/>
      <c r="AO57" s="18"/>
      <c r="AP57" s="18"/>
      <c r="AQ57" s="14"/>
      <c r="AR57" s="10"/>
      <c r="AS57" s="10"/>
      <c r="AT57" s="14"/>
      <c r="AU57" s="18"/>
      <c r="AV57" s="18"/>
      <c r="AW57" s="18"/>
      <c r="AX57" s="14"/>
    </row>
    <row r="58" spans="1:50">
      <c r="A58" s="3" t="s">
        <v>44</v>
      </c>
      <c r="B58" s="3" t="s">
        <v>45</v>
      </c>
      <c r="C58" s="4" t="s">
        <v>49</v>
      </c>
      <c r="D58" s="5" t="s">
        <v>50</v>
      </c>
      <c r="E58" s="7">
        <v>3</v>
      </c>
      <c r="F58" s="10">
        <v>2.577</v>
      </c>
      <c r="G58" s="10">
        <v>0.549</v>
      </c>
      <c r="H58" s="10">
        <v>4.69398907103825</v>
      </c>
      <c r="I58" s="10">
        <v>0.5467183011</v>
      </c>
      <c r="J58" s="14">
        <v>0.9958439</v>
      </c>
      <c r="K58" s="10">
        <v>-83.3463833911447</v>
      </c>
      <c r="L58" s="10">
        <v>7.52818302387268</v>
      </c>
      <c r="M58" s="14">
        <v>0.964644925327644</v>
      </c>
      <c r="N58" s="14">
        <v>0.964644925327644</v>
      </c>
      <c r="O58" s="14">
        <v>0.968679861252805</v>
      </c>
      <c r="P58" s="14">
        <v>0.968679861252805</v>
      </c>
      <c r="Q58" s="10">
        <v>30.4293859397417</v>
      </c>
      <c r="R58" s="10">
        <v>53.014</v>
      </c>
      <c r="S58" s="14">
        <v>0.829268292682927</v>
      </c>
      <c r="T58" s="18">
        <v>23</v>
      </c>
      <c r="U58" s="18">
        <v>23</v>
      </c>
      <c r="V58" s="18">
        <v>0</v>
      </c>
      <c r="W58" s="14">
        <v>0</v>
      </c>
      <c r="X58" s="10">
        <v>13.3211202797203</v>
      </c>
      <c r="Y58" s="10">
        <v>15.801</v>
      </c>
      <c r="Z58" s="14">
        <v>0.988811188811189</v>
      </c>
      <c r="AA58" s="18">
        <v>24</v>
      </c>
      <c r="AB58" s="18">
        <v>24</v>
      </c>
      <c r="AC58" s="18">
        <v>0</v>
      </c>
      <c r="AD58" s="14">
        <v>0</v>
      </c>
      <c r="AE58" s="10">
        <v>-83.6660591715976</v>
      </c>
      <c r="AF58" s="10">
        <v>7.50501183431953</v>
      </c>
      <c r="AG58" s="14">
        <v>0.953757225433526</v>
      </c>
      <c r="AH58" s="14">
        <v>0.953757225433526</v>
      </c>
      <c r="AI58" s="14">
        <v>0.976331360946746</v>
      </c>
      <c r="AJ58" s="14">
        <v>0.976331360946746</v>
      </c>
      <c r="AK58" s="10">
        <v>28.1381803278689</v>
      </c>
      <c r="AL58" s="10">
        <v>48.571</v>
      </c>
      <c r="AM58" s="14">
        <v>0.852459016393443</v>
      </c>
      <c r="AN58" s="18">
        <v>23</v>
      </c>
      <c r="AO58" s="18">
        <v>23</v>
      </c>
      <c r="AP58" s="18">
        <v>0</v>
      </c>
      <c r="AQ58" s="14">
        <v>0</v>
      </c>
      <c r="AR58" s="10">
        <v>13.4453538461538</v>
      </c>
      <c r="AS58" s="10">
        <v>15.057</v>
      </c>
      <c r="AT58" s="14">
        <v>1</v>
      </c>
      <c r="AU58" s="18">
        <v>24</v>
      </c>
      <c r="AV58" s="18">
        <v>24</v>
      </c>
      <c r="AW58" s="18">
        <v>0</v>
      </c>
      <c r="AX58" s="14">
        <v>0</v>
      </c>
    </row>
    <row r="59" spans="1:50">
      <c r="A59" s="3" t="s">
        <v>44</v>
      </c>
      <c r="B59" s="3" t="s">
        <v>56</v>
      </c>
      <c r="C59" s="4" t="s">
        <v>49</v>
      </c>
      <c r="D59" s="5" t="s">
        <v>61</v>
      </c>
      <c r="E59" s="7">
        <v>3</v>
      </c>
      <c r="F59" s="10">
        <v>2.863</v>
      </c>
      <c r="G59" s="10">
        <v>0.653</v>
      </c>
      <c r="H59" s="10">
        <v>4.3843797856049</v>
      </c>
      <c r="I59" s="10">
        <v>0.653</v>
      </c>
      <c r="J59" s="14">
        <v>1</v>
      </c>
      <c r="K59" s="10">
        <v>-83.2389419274658</v>
      </c>
      <c r="L59" s="10">
        <v>11.3818212631341</v>
      </c>
      <c r="M59" s="14">
        <v>0.989605694271834</v>
      </c>
      <c r="N59" s="14">
        <v>0.99062252852785</v>
      </c>
      <c r="O59" s="14">
        <v>0.989605694271834</v>
      </c>
      <c r="P59" s="14">
        <v>0.99062252852785</v>
      </c>
      <c r="Q59" s="10">
        <v>28.7727250608273</v>
      </c>
      <c r="R59" s="10">
        <v>60.488</v>
      </c>
      <c r="S59" s="14">
        <v>0.766423357664234</v>
      </c>
      <c r="T59" s="18">
        <v>27</v>
      </c>
      <c r="U59" s="18">
        <v>27</v>
      </c>
      <c r="V59" s="18">
        <v>0</v>
      </c>
      <c r="W59" s="14">
        <v>0</v>
      </c>
      <c r="X59" s="10">
        <v>20.0598952380952</v>
      </c>
      <c r="Y59" s="10">
        <v>30.536</v>
      </c>
      <c r="Z59" s="14">
        <v>0.990476190476191</v>
      </c>
      <c r="AA59" s="18">
        <v>28</v>
      </c>
      <c r="AB59" s="18">
        <v>28</v>
      </c>
      <c r="AC59" s="18">
        <v>0</v>
      </c>
      <c r="AD59" s="14">
        <v>0</v>
      </c>
      <c r="AE59" s="10">
        <v>-83.702867816092</v>
      </c>
      <c r="AF59" s="10">
        <v>10.851683908046</v>
      </c>
      <c r="AG59" s="14">
        <v>0.988505747126437</v>
      </c>
      <c r="AH59" s="14">
        <v>0.988505747126437</v>
      </c>
      <c r="AI59" s="14">
        <v>0.988505747126437</v>
      </c>
      <c r="AJ59" s="14">
        <v>0.988505747126437</v>
      </c>
      <c r="AK59" s="10">
        <v>25.0664625</v>
      </c>
      <c r="AL59" s="10">
        <v>49.884</v>
      </c>
      <c r="AM59" s="14">
        <v>0.75</v>
      </c>
      <c r="AN59" s="18">
        <v>27</v>
      </c>
      <c r="AO59" s="18">
        <v>27</v>
      </c>
      <c r="AP59" s="18">
        <v>0</v>
      </c>
      <c r="AQ59" s="14">
        <v>0</v>
      </c>
      <c r="AR59" s="10">
        <v>20.5544461538462</v>
      </c>
      <c r="AS59" s="10">
        <v>30.062</v>
      </c>
      <c r="AT59" s="14">
        <v>1</v>
      </c>
      <c r="AU59" s="18">
        <v>28</v>
      </c>
      <c r="AV59" s="18">
        <v>28</v>
      </c>
      <c r="AW59" s="18">
        <v>0</v>
      </c>
      <c r="AX59" s="14">
        <v>0</v>
      </c>
    </row>
    <row r="60" spans="1:50">
      <c r="A60" s="3" t="s">
        <v>51</v>
      </c>
      <c r="B60" s="6" t="s">
        <v>55</v>
      </c>
      <c r="C60" s="6" t="s">
        <v>49</v>
      </c>
      <c r="D60" s="6" t="s">
        <v>50</v>
      </c>
      <c r="E60" s="6">
        <v>3</v>
      </c>
      <c r="F60" s="11">
        <v>2.08588175290823</v>
      </c>
      <c r="G60" s="11">
        <v>0.564577777777778</v>
      </c>
      <c r="H60" s="11">
        <v>3.69458706135835</v>
      </c>
      <c r="I60" s="11">
        <v>0.4385</v>
      </c>
      <c r="J60" s="15">
        <v>0.776686609462332</v>
      </c>
      <c r="K60" s="11">
        <v>-83.0770748164378</v>
      </c>
      <c r="L60" s="11">
        <v>11.5748381680401</v>
      </c>
      <c r="M60" s="15">
        <v>0.728222996515679</v>
      </c>
      <c r="N60" s="15">
        <v>0.75131906421105</v>
      </c>
      <c r="O60" s="15">
        <v>0.938903863432165</v>
      </c>
      <c r="P60" s="15">
        <v>0.968681812347581</v>
      </c>
      <c r="Q60" s="11">
        <v>26.2748180166667</v>
      </c>
      <c r="R60" s="11">
        <v>62.2885</v>
      </c>
      <c r="S60" s="15">
        <v>0.745833333333333</v>
      </c>
      <c r="T60" s="19">
        <v>16</v>
      </c>
      <c r="U60" s="19">
        <v>16</v>
      </c>
      <c r="V60" s="19">
        <v>0</v>
      </c>
      <c r="W60" s="15">
        <v>0</v>
      </c>
      <c r="X60" s="11">
        <v>15.37797464375</v>
      </c>
      <c r="Y60" s="11">
        <v>32.5806</v>
      </c>
      <c r="Z60" s="15">
        <v>0.929166666666667</v>
      </c>
      <c r="AA60" s="19">
        <v>17</v>
      </c>
      <c r="AB60" s="19">
        <v>17</v>
      </c>
      <c r="AC60" s="19">
        <v>0</v>
      </c>
      <c r="AD60" s="15">
        <v>0</v>
      </c>
      <c r="AE60" s="11">
        <v>-85.5313938366717</v>
      </c>
      <c r="AF60" s="11">
        <v>10.733928615627</v>
      </c>
      <c r="AG60" s="15">
        <v>0.820224719101124</v>
      </c>
      <c r="AH60" s="15">
        <v>0.842696629213483</v>
      </c>
      <c r="AI60" s="15">
        <v>0.960526315789474</v>
      </c>
      <c r="AJ60" s="15">
        <v>0.986842105263158</v>
      </c>
      <c r="AK60" s="11">
        <v>26.4011050773909</v>
      </c>
      <c r="AL60" s="11">
        <v>37.150651</v>
      </c>
      <c r="AM60" s="15">
        <v>0.828571428571429</v>
      </c>
      <c r="AN60" s="19">
        <v>16</v>
      </c>
      <c r="AO60" s="19">
        <v>16</v>
      </c>
      <c r="AP60" s="19">
        <v>0</v>
      </c>
      <c r="AQ60" s="15">
        <v>0</v>
      </c>
      <c r="AR60" s="11">
        <v>12.8901743806341</v>
      </c>
      <c r="AS60" s="11">
        <v>25.342842625</v>
      </c>
      <c r="AT60" s="15">
        <v>0.971428571428571</v>
      </c>
      <c r="AU60" s="19">
        <v>17</v>
      </c>
      <c r="AV60" s="19">
        <v>17</v>
      </c>
      <c r="AW60" s="19">
        <v>0</v>
      </c>
      <c r="AX60" s="15">
        <v>0</v>
      </c>
    </row>
    <row r="61" spans="1:50">
      <c r="A61" s="3" t="s">
        <v>51</v>
      </c>
      <c r="B61" s="5" t="s">
        <v>63</v>
      </c>
      <c r="C61" s="5" t="s">
        <v>46</v>
      </c>
      <c r="D61" s="5" t="s">
        <v>53</v>
      </c>
      <c r="E61" s="5">
        <v>1</v>
      </c>
      <c r="F61" s="11" t="s">
        <v>54</v>
      </c>
      <c r="G61" s="11">
        <v>0.371033333333333</v>
      </c>
      <c r="H61" s="11" t="s">
        <v>54</v>
      </c>
      <c r="I61" s="11">
        <v>0.371005555555556</v>
      </c>
      <c r="J61" s="15">
        <v>0.999925134010122</v>
      </c>
      <c r="K61" s="11">
        <v>-83.0435793486684</v>
      </c>
      <c r="L61" s="11">
        <v>6.4655469295815</v>
      </c>
      <c r="M61" s="15">
        <v>0.999850052481631</v>
      </c>
      <c r="N61" s="15">
        <v>0.999850052481631</v>
      </c>
      <c r="O61" s="15">
        <v>0.999850052481631</v>
      </c>
      <c r="P61" s="15">
        <v>0.999850052481631</v>
      </c>
      <c r="Q61" s="11">
        <v>30.160414722408</v>
      </c>
      <c r="R61" s="11">
        <v>52.1396</v>
      </c>
      <c r="S61" s="15">
        <v>0.775919732441472</v>
      </c>
      <c r="T61" s="19">
        <v>10</v>
      </c>
      <c r="U61" s="19">
        <v>10</v>
      </c>
      <c r="V61" s="19">
        <v>0</v>
      </c>
      <c r="W61" s="15">
        <v>0</v>
      </c>
      <c r="X61" s="11">
        <v>12.2040859466667</v>
      </c>
      <c r="Y61" s="11">
        <v>20.8835</v>
      </c>
      <c r="Z61" s="15">
        <v>0.99</v>
      </c>
      <c r="AA61" s="19">
        <v>10</v>
      </c>
      <c r="AB61" s="19">
        <v>10</v>
      </c>
      <c r="AC61" s="19">
        <v>0</v>
      </c>
      <c r="AD61" s="15">
        <v>0</v>
      </c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</row>
    <row r="62" spans="1:50">
      <c r="A62" s="3" t="s">
        <v>51</v>
      </c>
      <c r="B62" s="5" t="s">
        <v>55</v>
      </c>
      <c r="C62" s="5" t="s">
        <v>46</v>
      </c>
      <c r="D62" s="5" t="s">
        <v>53</v>
      </c>
      <c r="E62" s="5">
        <v>2</v>
      </c>
      <c r="F62" s="11" t="s">
        <v>54</v>
      </c>
      <c r="G62" s="11">
        <v>0.384638888888889</v>
      </c>
      <c r="H62" s="11" t="s">
        <v>54</v>
      </c>
      <c r="I62" s="11">
        <v>0.384611111111111</v>
      </c>
      <c r="J62" s="15">
        <v>0.999927782191088</v>
      </c>
      <c r="K62" s="11">
        <v>-83.0219680345127</v>
      </c>
      <c r="L62" s="11">
        <v>18.7632777743257</v>
      </c>
      <c r="M62" s="15">
        <v>1</v>
      </c>
      <c r="N62" s="15">
        <v>1</v>
      </c>
      <c r="O62" s="15">
        <v>1</v>
      </c>
      <c r="P62" s="15">
        <v>1</v>
      </c>
      <c r="Q62" s="11">
        <v>25.2127582066667</v>
      </c>
      <c r="R62" s="11">
        <v>32.1908</v>
      </c>
      <c r="S62" s="15">
        <v>0.99</v>
      </c>
      <c r="T62" s="19">
        <v>10</v>
      </c>
      <c r="U62" s="19">
        <v>10</v>
      </c>
      <c r="V62" s="19">
        <v>0</v>
      </c>
      <c r="W62" s="15">
        <v>0</v>
      </c>
      <c r="X62" s="11">
        <v>18.71099868</v>
      </c>
      <c r="Y62" s="11">
        <v>21.1623</v>
      </c>
      <c r="Z62" s="15">
        <v>1</v>
      </c>
      <c r="AA62" s="19">
        <v>10</v>
      </c>
      <c r="AB62" s="19">
        <v>10</v>
      </c>
      <c r="AC62" s="19">
        <v>0</v>
      </c>
      <c r="AD62" s="15">
        <v>0</v>
      </c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</row>
    <row r="63" spans="1:50">
      <c r="A63" s="3" t="s">
        <v>44</v>
      </c>
      <c r="B63" s="3" t="s">
        <v>45</v>
      </c>
      <c r="C63" s="8" t="s">
        <v>49</v>
      </c>
      <c r="D63" s="5" t="s">
        <v>50</v>
      </c>
      <c r="E63" s="7">
        <v>2</v>
      </c>
      <c r="F63" s="10">
        <v>2.577</v>
      </c>
      <c r="G63" s="10">
        <v>0.549</v>
      </c>
      <c r="H63" s="10">
        <v>4.69398907103825</v>
      </c>
      <c r="I63" s="10">
        <v>0.547884981</v>
      </c>
      <c r="J63" s="14">
        <v>0.997969</v>
      </c>
      <c r="K63" s="10">
        <v>-82.949826228177</v>
      </c>
      <c r="L63" s="10">
        <v>7.46687931384491</v>
      </c>
      <c r="M63" s="14">
        <v>0.962809079854074</v>
      </c>
      <c r="N63" s="14">
        <v>0.962809079854074</v>
      </c>
      <c r="O63" s="14">
        <v>0.964372716199756</v>
      </c>
      <c r="P63" s="14">
        <v>0.964372716199756</v>
      </c>
      <c r="Q63" s="10">
        <v>31.0031933701657</v>
      </c>
      <c r="R63" s="10">
        <v>55.809</v>
      </c>
      <c r="S63" s="14">
        <v>0.819060773480663</v>
      </c>
      <c r="T63" s="18">
        <v>24</v>
      </c>
      <c r="U63" s="18">
        <v>24</v>
      </c>
      <c r="V63" s="18">
        <v>0</v>
      </c>
      <c r="W63" s="14">
        <v>0</v>
      </c>
      <c r="X63" s="10">
        <v>13.0721959361393</v>
      </c>
      <c r="Y63" s="10">
        <v>15.41</v>
      </c>
      <c r="Z63" s="14">
        <v>0.994194484760523</v>
      </c>
      <c r="AA63" s="18">
        <v>23</v>
      </c>
      <c r="AB63" s="18">
        <v>23</v>
      </c>
      <c r="AC63" s="18">
        <v>0</v>
      </c>
      <c r="AD63" s="14">
        <v>0</v>
      </c>
      <c r="AE63" s="10">
        <v>-83.1877485380117</v>
      </c>
      <c r="AF63" s="10">
        <v>7.34346198830409</v>
      </c>
      <c r="AG63" s="14">
        <v>0.959302325581395</v>
      </c>
      <c r="AH63" s="14">
        <v>0.959302325581395</v>
      </c>
      <c r="AI63" s="14">
        <v>0.964912280701754</v>
      </c>
      <c r="AJ63" s="14">
        <v>0.964912280701754</v>
      </c>
      <c r="AK63" s="10">
        <v>31.7738852459016</v>
      </c>
      <c r="AL63" s="10">
        <v>52.24</v>
      </c>
      <c r="AM63" s="14">
        <v>0.836065573770492</v>
      </c>
      <c r="AN63" s="18">
        <v>24</v>
      </c>
      <c r="AO63" s="18">
        <v>24</v>
      </c>
      <c r="AP63" s="18">
        <v>0</v>
      </c>
      <c r="AQ63" s="14">
        <v>0</v>
      </c>
      <c r="AR63" s="10">
        <v>12.798873015873</v>
      </c>
      <c r="AS63" s="10">
        <v>15.363</v>
      </c>
      <c r="AT63" s="14">
        <v>1</v>
      </c>
      <c r="AU63" s="18">
        <v>23</v>
      </c>
      <c r="AV63" s="18">
        <v>23</v>
      </c>
      <c r="AW63" s="18">
        <v>0</v>
      </c>
      <c r="AX63" s="14">
        <v>0</v>
      </c>
    </row>
    <row r="64" spans="1:50">
      <c r="A64" s="3" t="s">
        <v>51</v>
      </c>
      <c r="B64" s="5" t="s">
        <v>63</v>
      </c>
      <c r="C64" s="5" t="s">
        <v>46</v>
      </c>
      <c r="D64" s="5" t="s">
        <v>53</v>
      </c>
      <c r="E64" s="5">
        <v>3</v>
      </c>
      <c r="F64" s="11" t="s">
        <v>54</v>
      </c>
      <c r="G64" s="11">
        <v>0.411111111111111</v>
      </c>
      <c r="H64" s="11" t="s">
        <v>54</v>
      </c>
      <c r="I64" s="11">
        <v>0.411083333333333</v>
      </c>
      <c r="J64" s="15">
        <v>0.999932432432433</v>
      </c>
      <c r="K64" s="11">
        <v>-82.8156700778739</v>
      </c>
      <c r="L64" s="11">
        <v>13.5756446036926</v>
      </c>
      <c r="M64" s="15">
        <v>1</v>
      </c>
      <c r="N64" s="15">
        <v>1</v>
      </c>
      <c r="O64" s="15">
        <v>1</v>
      </c>
      <c r="P64" s="15">
        <v>1</v>
      </c>
      <c r="Q64" s="11">
        <v>24.61512556</v>
      </c>
      <c r="R64" s="11">
        <v>29.1584</v>
      </c>
      <c r="S64" s="15">
        <v>1</v>
      </c>
      <c r="T64" s="19">
        <v>10</v>
      </c>
      <c r="U64" s="19">
        <v>10</v>
      </c>
      <c r="V64" s="19">
        <v>0</v>
      </c>
      <c r="W64" s="15">
        <v>0</v>
      </c>
      <c r="X64" s="11">
        <v>11.22838478</v>
      </c>
      <c r="Y64" s="11">
        <v>12.6188</v>
      </c>
      <c r="Z64" s="15">
        <v>1</v>
      </c>
      <c r="AA64" s="19">
        <v>10</v>
      </c>
      <c r="AB64" s="19">
        <v>10</v>
      </c>
      <c r="AC64" s="19">
        <v>0</v>
      </c>
      <c r="AD64" s="15">
        <v>0</v>
      </c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</row>
    <row r="65" spans="1:50">
      <c r="A65" s="3" t="s">
        <v>44</v>
      </c>
      <c r="B65" s="3" t="s">
        <v>56</v>
      </c>
      <c r="C65" s="4" t="s">
        <v>46</v>
      </c>
      <c r="D65" s="5" t="s">
        <v>47</v>
      </c>
      <c r="E65" s="7">
        <v>3</v>
      </c>
      <c r="F65" s="10"/>
      <c r="G65" s="10">
        <v>0.256</v>
      </c>
      <c r="H65" s="10"/>
      <c r="I65" s="10">
        <v>0.256</v>
      </c>
      <c r="J65" s="14">
        <v>1</v>
      </c>
      <c r="K65" s="10">
        <v>-82.6342488789238</v>
      </c>
      <c r="L65" s="10">
        <v>6.44417538614848</v>
      </c>
      <c r="M65" s="14">
        <v>1</v>
      </c>
      <c r="N65" s="14">
        <v>1</v>
      </c>
      <c r="O65" s="14">
        <v>1</v>
      </c>
      <c r="P65" s="14">
        <v>1</v>
      </c>
      <c r="Q65" s="10">
        <v>12.2229276315789</v>
      </c>
      <c r="R65" s="10">
        <v>15.635</v>
      </c>
      <c r="S65" s="14">
        <v>0.763157894736842</v>
      </c>
      <c r="T65" s="18">
        <v>10</v>
      </c>
      <c r="U65" s="18">
        <v>10</v>
      </c>
      <c r="V65" s="18">
        <v>0</v>
      </c>
      <c r="W65" s="14">
        <v>0</v>
      </c>
      <c r="X65" s="10">
        <v>8.35336666666667</v>
      </c>
      <c r="Y65" s="10">
        <v>10.549</v>
      </c>
      <c r="Z65" s="14">
        <v>0.993333333333333</v>
      </c>
      <c r="AA65" s="18">
        <v>10</v>
      </c>
      <c r="AB65" s="18">
        <v>10</v>
      </c>
      <c r="AC65" s="18">
        <v>0</v>
      </c>
      <c r="AD65" s="14">
        <v>0</v>
      </c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</row>
    <row r="66" spans="1:50">
      <c r="A66" s="3" t="s">
        <v>51</v>
      </c>
      <c r="B66" s="6" t="s">
        <v>55</v>
      </c>
      <c r="C66" s="6" t="s">
        <v>49</v>
      </c>
      <c r="D66" s="6" t="s">
        <v>50</v>
      </c>
      <c r="E66" s="6">
        <v>1</v>
      </c>
      <c r="F66" s="12">
        <v>2.14353608834744</v>
      </c>
      <c r="G66" s="12">
        <v>0.539722222222222</v>
      </c>
      <c r="H66" s="12">
        <v>3.97155425530148</v>
      </c>
      <c r="I66" s="12">
        <v>0.539697222222222</v>
      </c>
      <c r="J66" s="16">
        <v>0.99995367987648</v>
      </c>
      <c r="K66" s="12">
        <v>-82.5398454353861</v>
      </c>
      <c r="L66" s="12">
        <v>7.31278075686694</v>
      </c>
      <c r="M66" s="16">
        <v>0.980477223427332</v>
      </c>
      <c r="N66" s="16">
        <v>0.987294700960645</v>
      </c>
      <c r="O66" s="16">
        <v>0.980477223427332</v>
      </c>
      <c r="P66" s="16">
        <v>0.987294700960645</v>
      </c>
      <c r="Q66" s="12">
        <v>43.9501971444444</v>
      </c>
      <c r="R66" s="12">
        <v>77.9767</v>
      </c>
      <c r="S66" s="16">
        <v>0.98</v>
      </c>
      <c r="T66" s="20">
        <v>15</v>
      </c>
      <c r="U66" s="20">
        <v>15</v>
      </c>
      <c r="V66" s="20">
        <v>0</v>
      </c>
      <c r="W66" s="16">
        <v>0</v>
      </c>
      <c r="X66" s="12">
        <v>51.9462219311065</v>
      </c>
      <c r="Y66" s="12">
        <v>80.402</v>
      </c>
      <c r="Z66" s="16">
        <v>0.939457202505219</v>
      </c>
      <c r="AA66" s="20">
        <v>16</v>
      </c>
      <c r="AB66" s="20">
        <v>16</v>
      </c>
      <c r="AC66" s="20">
        <v>0</v>
      </c>
      <c r="AD66" s="16">
        <v>0</v>
      </c>
      <c r="AE66" s="12">
        <v>-83.2529378514365</v>
      </c>
      <c r="AF66" s="12">
        <v>7.42526716500532</v>
      </c>
      <c r="AG66" s="16">
        <v>1</v>
      </c>
      <c r="AH66" s="16">
        <v>1</v>
      </c>
      <c r="AI66" s="16">
        <v>1</v>
      </c>
      <c r="AJ66" s="16">
        <v>1</v>
      </c>
      <c r="AK66" s="12">
        <v>43.3622021433854</v>
      </c>
      <c r="AL66" s="12">
        <v>72.4651416111111</v>
      </c>
      <c r="AM66" s="16">
        <v>1</v>
      </c>
      <c r="AN66" s="20">
        <v>15</v>
      </c>
      <c r="AO66" s="20">
        <v>15</v>
      </c>
      <c r="AP66" s="20">
        <v>0</v>
      </c>
      <c r="AQ66" s="16">
        <v>0</v>
      </c>
      <c r="AR66" s="12">
        <v>49.9046001586353</v>
      </c>
      <c r="AS66" s="12">
        <v>69.5281435</v>
      </c>
      <c r="AT66" s="16">
        <v>0.96969696969697</v>
      </c>
      <c r="AU66" s="20">
        <v>16</v>
      </c>
      <c r="AV66" s="20">
        <v>16</v>
      </c>
      <c r="AW66" s="20">
        <v>0</v>
      </c>
      <c r="AX66" s="16">
        <v>0</v>
      </c>
    </row>
    <row r="67" spans="1:50">
      <c r="A67" s="3" t="s">
        <v>44</v>
      </c>
      <c r="B67" s="3" t="s">
        <v>48</v>
      </c>
      <c r="C67" s="4" t="s">
        <v>46</v>
      </c>
      <c r="D67" s="5" t="s">
        <v>47</v>
      </c>
      <c r="E67" s="7">
        <v>1</v>
      </c>
      <c r="F67" s="10"/>
      <c r="G67" s="10">
        <v>0.239</v>
      </c>
      <c r="H67" s="10"/>
      <c r="I67" s="10">
        <v>0.239</v>
      </c>
      <c r="J67" s="14">
        <v>1</v>
      </c>
      <c r="K67" s="10">
        <v>-81.3198388526119</v>
      </c>
      <c r="L67" s="10">
        <v>9.51451539179105</v>
      </c>
      <c r="M67" s="14">
        <v>1</v>
      </c>
      <c r="N67" s="14">
        <v>1</v>
      </c>
      <c r="O67" s="14">
        <v>1</v>
      </c>
      <c r="P67" s="14">
        <v>1</v>
      </c>
      <c r="Q67" s="10">
        <v>58.3438950819672</v>
      </c>
      <c r="R67" s="10">
        <v>81.449</v>
      </c>
      <c r="S67" s="14">
        <v>0.986885245901639</v>
      </c>
      <c r="T67" s="18">
        <v>10</v>
      </c>
      <c r="U67" s="18">
        <v>10</v>
      </c>
      <c r="V67" s="18">
        <v>0</v>
      </c>
      <c r="W67" s="14">
        <v>0</v>
      </c>
      <c r="X67" s="10">
        <v>21.8789163879599</v>
      </c>
      <c r="Y67" s="10">
        <v>24.414</v>
      </c>
      <c r="Z67" s="14">
        <v>1</v>
      </c>
      <c r="AA67" s="18">
        <v>10</v>
      </c>
      <c r="AB67" s="18">
        <v>10</v>
      </c>
      <c r="AC67" s="18">
        <v>0</v>
      </c>
      <c r="AD67" s="14">
        <v>0</v>
      </c>
      <c r="AE67" s="10"/>
      <c r="AF67" s="10"/>
      <c r="AG67" s="14"/>
      <c r="AH67" s="14"/>
      <c r="AI67" s="14"/>
      <c r="AJ67" s="14"/>
      <c r="AK67" s="10"/>
      <c r="AL67" s="10"/>
      <c r="AM67" s="14"/>
      <c r="AN67" s="18"/>
      <c r="AO67" s="18"/>
      <c r="AP67" s="18"/>
      <c r="AQ67" s="14"/>
      <c r="AR67" s="10"/>
      <c r="AS67" s="10"/>
      <c r="AT67" s="14"/>
      <c r="AU67" s="18"/>
      <c r="AV67" s="18"/>
      <c r="AW67" s="18"/>
      <c r="AX67" s="14"/>
    </row>
    <row r="68" spans="1:50">
      <c r="A68" s="3" t="s">
        <v>51</v>
      </c>
      <c r="B68" s="6" t="s">
        <v>52</v>
      </c>
      <c r="C68" s="6" t="s">
        <v>49</v>
      </c>
      <c r="D68" s="6" t="s">
        <v>61</v>
      </c>
      <c r="E68" s="4">
        <v>3</v>
      </c>
      <c r="F68" s="11">
        <v>2.12726338416338</v>
      </c>
      <c r="G68" s="11">
        <v>0.449975</v>
      </c>
      <c r="H68" s="11">
        <v>4.72751460450776</v>
      </c>
      <c r="I68" s="11">
        <v>0.449841666666667</v>
      </c>
      <c r="J68" s="15">
        <v>0.999703687241884</v>
      </c>
      <c r="K68" s="11">
        <v>-81.3131255275673</v>
      </c>
      <c r="L68" s="11">
        <v>11.435705820973</v>
      </c>
      <c r="M68" s="15">
        <v>0.983017230692947</v>
      </c>
      <c r="N68" s="15">
        <v>0.983265154332466</v>
      </c>
      <c r="O68" s="15">
        <v>0.983382936507937</v>
      </c>
      <c r="P68" s="15">
        <v>0.983630952380952</v>
      </c>
      <c r="Q68" s="11">
        <v>19.6742957966667</v>
      </c>
      <c r="R68" s="11">
        <v>38.1127</v>
      </c>
      <c r="S68" s="15">
        <v>0.74</v>
      </c>
      <c r="T68" s="19">
        <v>10</v>
      </c>
      <c r="U68" s="19">
        <v>10</v>
      </c>
      <c r="V68" s="19">
        <v>0</v>
      </c>
      <c r="W68" s="15">
        <v>0</v>
      </c>
      <c r="X68" s="11">
        <v>11.1283216212121</v>
      </c>
      <c r="Y68" s="11">
        <v>15.6643</v>
      </c>
      <c r="Z68" s="15">
        <v>0.948484848484848</v>
      </c>
      <c r="AA68" s="19">
        <v>11</v>
      </c>
      <c r="AB68" s="19">
        <v>11</v>
      </c>
      <c r="AC68" s="19">
        <v>0</v>
      </c>
      <c r="AD68" s="15">
        <v>0</v>
      </c>
      <c r="AE68" s="11">
        <v>-81.674395497451</v>
      </c>
      <c r="AF68" s="11">
        <v>10.9387173286266</v>
      </c>
      <c r="AG68" s="15">
        <v>0.980582524271845</v>
      </c>
      <c r="AH68" s="15">
        <v>0.980582524271845</v>
      </c>
      <c r="AI68" s="15">
        <v>0.990196078431373</v>
      </c>
      <c r="AJ68" s="15">
        <v>0.990196078431373</v>
      </c>
      <c r="AK68" s="11">
        <v>20.9306848248981</v>
      </c>
      <c r="AL68" s="11">
        <v>37.2308054</v>
      </c>
      <c r="AM68" s="15">
        <v>0.793103448275862</v>
      </c>
      <c r="AN68" s="19">
        <v>10</v>
      </c>
      <c r="AO68" s="19">
        <v>10</v>
      </c>
      <c r="AP68" s="19">
        <v>0</v>
      </c>
      <c r="AQ68" s="15">
        <v>0</v>
      </c>
      <c r="AR68" s="11">
        <v>11.009451119326</v>
      </c>
      <c r="AS68" s="11">
        <v>23.486002</v>
      </c>
      <c r="AT68" s="15">
        <v>0.964285714285714</v>
      </c>
      <c r="AU68" s="19">
        <v>11</v>
      </c>
      <c r="AV68" s="19">
        <v>11</v>
      </c>
      <c r="AW68" s="19">
        <v>0</v>
      </c>
      <c r="AX68" s="15">
        <v>0</v>
      </c>
    </row>
    <row r="69" spans="1:50">
      <c r="A69" s="3" t="s">
        <v>51</v>
      </c>
      <c r="B69" s="6" t="s">
        <v>52</v>
      </c>
      <c r="C69" s="6" t="s">
        <v>49</v>
      </c>
      <c r="D69" s="6" t="s">
        <v>50</v>
      </c>
      <c r="E69" s="4">
        <v>3</v>
      </c>
      <c r="F69" s="11">
        <v>5.61482901751995</v>
      </c>
      <c r="G69" s="11">
        <v>0.419027777777778</v>
      </c>
      <c r="H69" s="11">
        <v>13.3996582453244</v>
      </c>
      <c r="I69" s="11">
        <v>0.419002777777778</v>
      </c>
      <c r="J69" s="15">
        <v>0.99994033808419</v>
      </c>
      <c r="K69" s="11">
        <v>-81.2466127613758</v>
      </c>
      <c r="L69" s="11">
        <v>10.1464120427951</v>
      </c>
      <c r="M69" s="15">
        <v>0.986968085106383</v>
      </c>
      <c r="N69" s="15">
        <v>0.986968085106383</v>
      </c>
      <c r="O69" s="15">
        <v>0.986968085106383</v>
      </c>
      <c r="P69" s="15">
        <v>0.986968085106383</v>
      </c>
      <c r="Q69" s="11">
        <v>29.4563305633333</v>
      </c>
      <c r="R69" s="11">
        <v>58.099</v>
      </c>
      <c r="S69" s="15">
        <v>0.86</v>
      </c>
      <c r="T69" s="19">
        <v>10</v>
      </c>
      <c r="U69" s="19">
        <v>10</v>
      </c>
      <c r="V69" s="19">
        <v>0</v>
      </c>
      <c r="W69" s="15">
        <v>0</v>
      </c>
      <c r="X69" s="11">
        <v>10.5226219143731</v>
      </c>
      <c r="Y69" s="11">
        <v>14.676</v>
      </c>
      <c r="Z69" s="15">
        <v>0.975535168195719</v>
      </c>
      <c r="AA69" s="19">
        <v>11</v>
      </c>
      <c r="AB69" s="19">
        <v>11</v>
      </c>
      <c r="AC69" s="19">
        <v>0</v>
      </c>
      <c r="AD69" s="15">
        <v>0</v>
      </c>
      <c r="AE69" s="11">
        <v>-83.4451347337151</v>
      </c>
      <c r="AF69" s="11">
        <v>9.08619178821022</v>
      </c>
      <c r="AG69" s="15">
        <v>0.99625468164794</v>
      </c>
      <c r="AH69" s="15">
        <v>0.99625468164794</v>
      </c>
      <c r="AI69" s="15">
        <v>0.99625468164794</v>
      </c>
      <c r="AJ69" s="15">
        <v>0.99625468164794</v>
      </c>
      <c r="AK69" s="11">
        <v>24.874414114221</v>
      </c>
      <c r="AL69" s="11">
        <v>46.422422</v>
      </c>
      <c r="AM69" s="15">
        <v>0.819672131147541</v>
      </c>
      <c r="AN69" s="19">
        <v>10</v>
      </c>
      <c r="AO69" s="19">
        <v>10</v>
      </c>
      <c r="AP69" s="19">
        <v>0</v>
      </c>
      <c r="AQ69" s="15">
        <v>0</v>
      </c>
      <c r="AR69" s="11">
        <v>10.1156921594097</v>
      </c>
      <c r="AS69" s="11">
        <v>13.4600325</v>
      </c>
      <c r="AT69" s="15">
        <v>0.986301369863014</v>
      </c>
      <c r="AU69" s="19">
        <v>11</v>
      </c>
      <c r="AV69" s="19">
        <v>11</v>
      </c>
      <c r="AW69" s="19">
        <v>0</v>
      </c>
      <c r="AX69" s="15">
        <v>0</v>
      </c>
    </row>
    <row r="70" spans="1:50">
      <c r="A70" s="3" t="s">
        <v>44</v>
      </c>
      <c r="B70" s="7" t="s">
        <v>60</v>
      </c>
      <c r="C70" s="4" t="s">
        <v>49</v>
      </c>
      <c r="D70" s="5" t="s">
        <v>50</v>
      </c>
      <c r="E70" s="7">
        <v>3</v>
      </c>
      <c r="F70" s="10">
        <v>2.844</v>
      </c>
      <c r="G70" s="10">
        <v>0.596</v>
      </c>
      <c r="H70" s="10">
        <v>4.77181208053691</v>
      </c>
      <c r="I70" s="10">
        <v>0.5203990092</v>
      </c>
      <c r="J70" s="14">
        <v>0.8731527</v>
      </c>
      <c r="K70" s="10">
        <v>-81.2278310349112</v>
      </c>
      <c r="L70" s="10">
        <v>5.13432376692757</v>
      </c>
      <c r="M70" s="14">
        <v>0.806898020012774</v>
      </c>
      <c r="N70" s="14">
        <v>0.806898020012774</v>
      </c>
      <c r="O70" s="14">
        <v>0.941731892160517</v>
      </c>
      <c r="P70" s="14">
        <v>0.941731892160517</v>
      </c>
      <c r="Q70" s="10">
        <v>23.2606035502959</v>
      </c>
      <c r="R70" s="10">
        <v>41.456</v>
      </c>
      <c r="S70" s="14">
        <v>0.77810650887574</v>
      </c>
      <c r="T70" s="18">
        <v>25</v>
      </c>
      <c r="U70" s="18">
        <v>25</v>
      </c>
      <c r="V70" s="18">
        <v>0</v>
      </c>
      <c r="W70" s="14">
        <v>0</v>
      </c>
      <c r="X70" s="10">
        <v>19.7240235640648</v>
      </c>
      <c r="Y70" s="10">
        <v>24.451</v>
      </c>
      <c r="Z70" s="14">
        <v>0.976435935198822</v>
      </c>
      <c r="AA70" s="18">
        <v>26</v>
      </c>
      <c r="AB70" s="18">
        <v>26</v>
      </c>
      <c r="AC70" s="18">
        <v>0</v>
      </c>
      <c r="AD70" s="14">
        <v>0</v>
      </c>
      <c r="AE70" s="10">
        <v>-80.964037735849</v>
      </c>
      <c r="AF70" s="10">
        <v>4.95569811320755</v>
      </c>
      <c r="AG70" s="14">
        <v>0.814814814814815</v>
      </c>
      <c r="AH70" s="14">
        <v>0.814814814814815</v>
      </c>
      <c r="AI70" s="14">
        <v>0.968553459119497</v>
      </c>
      <c r="AJ70" s="14">
        <v>0.968553459119497</v>
      </c>
      <c r="AK70" s="10">
        <v>22.0916774193548</v>
      </c>
      <c r="AL70" s="10">
        <v>36.614</v>
      </c>
      <c r="AM70" s="14">
        <v>0.790322580645161</v>
      </c>
      <c r="AN70" s="18">
        <v>25</v>
      </c>
      <c r="AO70" s="18">
        <v>25</v>
      </c>
      <c r="AP70" s="18">
        <v>0</v>
      </c>
      <c r="AQ70" s="14">
        <v>0</v>
      </c>
      <c r="AR70" s="10">
        <v>19.894262295082</v>
      </c>
      <c r="AS70" s="10">
        <v>25.263</v>
      </c>
      <c r="AT70" s="14">
        <v>1</v>
      </c>
      <c r="AU70" s="18">
        <v>26</v>
      </c>
      <c r="AV70" s="18">
        <v>26</v>
      </c>
      <c r="AW70" s="18">
        <v>0</v>
      </c>
      <c r="AX70" s="14">
        <v>0</v>
      </c>
    </row>
    <row r="71" spans="1:50">
      <c r="A71" s="3" t="s">
        <v>51</v>
      </c>
      <c r="B71" s="6" t="s">
        <v>55</v>
      </c>
      <c r="C71" s="6" t="s">
        <v>49</v>
      </c>
      <c r="D71" s="6" t="s">
        <v>61</v>
      </c>
      <c r="E71" s="5">
        <v>1</v>
      </c>
      <c r="F71" s="11">
        <v>1.66221134400368</v>
      </c>
      <c r="G71" s="11">
        <v>0.349366666666667</v>
      </c>
      <c r="H71" s="11">
        <v>4.75778459308371</v>
      </c>
      <c r="I71" s="11">
        <v>0.349338888888889</v>
      </c>
      <c r="J71" s="15">
        <v>0.999920491047292</v>
      </c>
      <c r="K71" s="11">
        <v>-81.1798849901197</v>
      </c>
      <c r="L71" s="11">
        <v>8.09715016098808</v>
      </c>
      <c r="M71" s="15">
        <v>0.929835751873704</v>
      </c>
      <c r="N71" s="15">
        <v>0.931589858076862</v>
      </c>
      <c r="O71" s="15">
        <v>0.929835751873704</v>
      </c>
      <c r="P71" s="15">
        <v>0.931589858076862</v>
      </c>
      <c r="Q71" s="11">
        <v>59.1099727466667</v>
      </c>
      <c r="R71" s="11">
        <v>86.1475</v>
      </c>
      <c r="S71" s="15">
        <v>1</v>
      </c>
      <c r="T71" s="19">
        <v>10</v>
      </c>
      <c r="U71" s="19">
        <v>10</v>
      </c>
      <c r="V71" s="19">
        <v>0</v>
      </c>
      <c r="W71" s="15">
        <v>0</v>
      </c>
      <c r="X71" s="11">
        <v>53.8606963766667</v>
      </c>
      <c r="Y71" s="11">
        <v>85.0149</v>
      </c>
      <c r="Z71" s="15">
        <v>0.983333333333333</v>
      </c>
      <c r="AA71" s="19">
        <v>10</v>
      </c>
      <c r="AB71" s="19">
        <v>10</v>
      </c>
      <c r="AC71" s="19">
        <v>0</v>
      </c>
      <c r="AD71" s="15">
        <v>0</v>
      </c>
      <c r="AE71" s="11">
        <v>-82.1206070357159</v>
      </c>
      <c r="AF71" s="11">
        <v>7.9920460515145</v>
      </c>
      <c r="AG71" s="15">
        <v>0.961538461538462</v>
      </c>
      <c r="AH71" s="15">
        <v>0.961538461538462</v>
      </c>
      <c r="AI71" s="15">
        <v>0.961538461538462</v>
      </c>
      <c r="AJ71" s="15">
        <v>0.961538461538462</v>
      </c>
      <c r="AK71" s="11">
        <v>60.7677526847406</v>
      </c>
      <c r="AL71" s="11">
        <v>76.73940325</v>
      </c>
      <c r="AM71" s="15">
        <v>1</v>
      </c>
      <c r="AN71" s="19">
        <v>10</v>
      </c>
      <c r="AO71" s="19">
        <v>10</v>
      </c>
      <c r="AP71" s="19">
        <v>0</v>
      </c>
      <c r="AQ71" s="15">
        <v>0</v>
      </c>
      <c r="AR71" s="11">
        <v>52.3939359816654</v>
      </c>
      <c r="AS71" s="11">
        <v>83.4420137894737</v>
      </c>
      <c r="AT71" s="15">
        <v>1</v>
      </c>
      <c r="AU71" s="19">
        <v>10</v>
      </c>
      <c r="AV71" s="19">
        <v>10</v>
      </c>
      <c r="AW71" s="19">
        <v>0</v>
      </c>
      <c r="AX71" s="15">
        <v>0</v>
      </c>
    </row>
    <row r="72" spans="1:50">
      <c r="A72" s="3" t="s">
        <v>51</v>
      </c>
      <c r="B72" s="4" t="s">
        <v>58</v>
      </c>
      <c r="C72" s="5" t="s">
        <v>46</v>
      </c>
      <c r="D72" s="6" t="s">
        <v>65</v>
      </c>
      <c r="E72" s="4">
        <v>2</v>
      </c>
      <c r="F72" s="11" t="s">
        <v>54</v>
      </c>
      <c r="G72" s="11">
        <v>0.393736111111111</v>
      </c>
      <c r="H72" s="11" t="s">
        <v>54</v>
      </c>
      <c r="I72" s="11">
        <v>0.393708333333333</v>
      </c>
      <c r="J72" s="15">
        <v>0.999929450774278</v>
      </c>
      <c r="K72" s="11">
        <v>-81.1544968261978</v>
      </c>
      <c r="L72" s="11">
        <v>7.46512234534195</v>
      </c>
      <c r="M72" s="15">
        <v>0.996889140271493</v>
      </c>
      <c r="N72" s="15">
        <v>0.99731334841629</v>
      </c>
      <c r="O72" s="15">
        <v>0.996889140271493</v>
      </c>
      <c r="P72" s="15">
        <v>0.99731334841629</v>
      </c>
      <c r="Q72" s="11">
        <v>55.8150494366667</v>
      </c>
      <c r="R72" s="11">
        <v>70.2828</v>
      </c>
      <c r="S72" s="15">
        <v>0.993333333333333</v>
      </c>
      <c r="T72" s="19">
        <v>10</v>
      </c>
      <c r="U72" s="19">
        <v>10</v>
      </c>
      <c r="V72" s="19">
        <v>0</v>
      </c>
      <c r="W72" s="15">
        <v>0</v>
      </c>
      <c r="X72" s="11">
        <v>21.5185307766667</v>
      </c>
      <c r="Y72" s="11">
        <v>23.4303</v>
      </c>
      <c r="Z72" s="15">
        <v>1</v>
      </c>
      <c r="AA72" s="19">
        <v>10</v>
      </c>
      <c r="AB72" s="19">
        <v>10</v>
      </c>
      <c r="AC72" s="19">
        <v>0</v>
      </c>
      <c r="AD72" s="15">
        <v>0</v>
      </c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</row>
    <row r="73" spans="1:50">
      <c r="A73" s="3" t="s">
        <v>51</v>
      </c>
      <c r="B73" s="5" t="s">
        <v>55</v>
      </c>
      <c r="C73" s="5" t="s">
        <v>46</v>
      </c>
      <c r="D73" s="5" t="s">
        <v>53</v>
      </c>
      <c r="E73" s="5">
        <v>3</v>
      </c>
      <c r="F73" s="11" t="s">
        <v>54</v>
      </c>
      <c r="G73" s="11">
        <v>0.377797222222222</v>
      </c>
      <c r="H73" s="11" t="s">
        <v>54</v>
      </c>
      <c r="I73" s="11">
        <v>0.377763888888889</v>
      </c>
      <c r="J73" s="15">
        <v>0.999911769247171</v>
      </c>
      <c r="K73" s="11">
        <v>-80.927465653022</v>
      </c>
      <c r="L73" s="11">
        <v>4.39095827046186</v>
      </c>
      <c r="M73" s="15">
        <v>1</v>
      </c>
      <c r="N73" s="15">
        <v>1</v>
      </c>
      <c r="O73" s="15">
        <v>1</v>
      </c>
      <c r="P73" s="15">
        <v>1</v>
      </c>
      <c r="Q73" s="11">
        <v>20.3844403966667</v>
      </c>
      <c r="R73" s="11">
        <v>30.313</v>
      </c>
      <c r="S73" s="15">
        <v>0.97</v>
      </c>
      <c r="T73" s="19">
        <v>10</v>
      </c>
      <c r="U73" s="19">
        <v>10</v>
      </c>
      <c r="V73" s="19">
        <v>0</v>
      </c>
      <c r="W73" s="15">
        <v>0</v>
      </c>
      <c r="X73" s="11">
        <v>24.93005183</v>
      </c>
      <c r="Y73" s="11">
        <v>28.5085</v>
      </c>
      <c r="Z73" s="15">
        <v>1</v>
      </c>
      <c r="AA73" s="19">
        <v>10</v>
      </c>
      <c r="AB73" s="19">
        <v>10</v>
      </c>
      <c r="AC73" s="19">
        <v>0</v>
      </c>
      <c r="AD73" s="15">
        <v>0</v>
      </c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</row>
    <row r="74" spans="1:50">
      <c r="A74" s="3" t="s">
        <v>44</v>
      </c>
      <c r="B74" s="3" t="s">
        <v>48</v>
      </c>
      <c r="C74" s="4" t="s">
        <v>49</v>
      </c>
      <c r="D74" s="5" t="s">
        <v>50</v>
      </c>
      <c r="E74" s="7">
        <v>3</v>
      </c>
      <c r="F74" s="10">
        <v>2.793</v>
      </c>
      <c r="G74" s="10">
        <v>0.681</v>
      </c>
      <c r="H74" s="10">
        <v>4.10132158590308</v>
      </c>
      <c r="I74" s="10">
        <v>0.681</v>
      </c>
      <c r="J74" s="14">
        <v>1</v>
      </c>
      <c r="K74" s="10">
        <v>-80.824694709102</v>
      </c>
      <c r="L74" s="10">
        <v>12.1170647678897</v>
      </c>
      <c r="M74" s="14">
        <v>0.982160956821407</v>
      </c>
      <c r="N74" s="14">
        <v>0.997770119602676</v>
      </c>
      <c r="O74" s="14">
        <v>0.982160956821407</v>
      </c>
      <c r="P74" s="14">
        <v>0.997770119602676</v>
      </c>
      <c r="Q74" s="10">
        <v>17.5676527149321</v>
      </c>
      <c r="R74" s="10">
        <v>29.944</v>
      </c>
      <c r="S74" s="14">
        <v>0.763574660633484</v>
      </c>
      <c r="T74" s="18">
        <v>29</v>
      </c>
      <c r="U74" s="18">
        <v>29</v>
      </c>
      <c r="V74" s="18">
        <v>0</v>
      </c>
      <c r="W74" s="14">
        <v>0</v>
      </c>
      <c r="X74" s="10">
        <v>7.10543168771527</v>
      </c>
      <c r="Y74" s="10">
        <v>9.559</v>
      </c>
      <c r="Z74" s="14">
        <v>0.95292766934558</v>
      </c>
      <c r="AA74" s="18">
        <v>29</v>
      </c>
      <c r="AB74" s="18">
        <v>29</v>
      </c>
      <c r="AC74" s="18">
        <v>0</v>
      </c>
      <c r="AD74" s="14">
        <v>0</v>
      </c>
      <c r="AE74" s="10">
        <v>-80.5723715846995</v>
      </c>
      <c r="AF74" s="10">
        <v>12.1592295081967</v>
      </c>
      <c r="AG74" s="14">
        <v>0.983606557377049</v>
      </c>
      <c r="AH74" s="14">
        <v>1</v>
      </c>
      <c r="AI74" s="14">
        <v>0.983606557377049</v>
      </c>
      <c r="AJ74" s="14">
        <v>1</v>
      </c>
      <c r="AK74" s="10">
        <v>17.6489487179487</v>
      </c>
      <c r="AL74" s="10">
        <v>29.061</v>
      </c>
      <c r="AM74" s="14">
        <v>0.769230769230769</v>
      </c>
      <c r="AN74" s="18">
        <v>29</v>
      </c>
      <c r="AO74" s="18">
        <v>29</v>
      </c>
      <c r="AP74" s="18">
        <v>0</v>
      </c>
      <c r="AQ74" s="14">
        <v>0</v>
      </c>
      <c r="AR74" s="10">
        <v>7.29104225352113</v>
      </c>
      <c r="AS74" s="10">
        <v>9.143</v>
      </c>
      <c r="AT74" s="14">
        <v>1</v>
      </c>
      <c r="AU74" s="18">
        <v>29</v>
      </c>
      <c r="AV74" s="18">
        <v>29</v>
      </c>
      <c r="AW74" s="18">
        <v>0</v>
      </c>
      <c r="AX74" s="14">
        <v>0</v>
      </c>
    </row>
    <row r="75" spans="1:50">
      <c r="A75" s="3" t="s">
        <v>51</v>
      </c>
      <c r="B75" s="5" t="s">
        <v>63</v>
      </c>
      <c r="C75" s="5" t="s">
        <v>46</v>
      </c>
      <c r="D75" s="5" t="s">
        <v>47</v>
      </c>
      <c r="E75" s="5">
        <v>3</v>
      </c>
      <c r="F75" s="11" t="s">
        <v>54</v>
      </c>
      <c r="G75" s="11">
        <v>0.384052777777778</v>
      </c>
      <c r="H75" s="11" t="s">
        <v>54</v>
      </c>
      <c r="I75" s="11">
        <v>0.239332777777778</v>
      </c>
      <c r="J75" s="15">
        <v>0.623176791384286</v>
      </c>
      <c r="K75" s="11">
        <v>-80.7641100883484</v>
      </c>
      <c r="L75" s="11">
        <v>19.6232196055353</v>
      </c>
      <c r="M75" s="15">
        <v>0.624039437436567</v>
      </c>
      <c r="N75" s="15">
        <v>0.624039437436567</v>
      </c>
      <c r="O75" s="15">
        <v>1</v>
      </c>
      <c r="P75" s="15">
        <v>1</v>
      </c>
      <c r="Q75" s="11">
        <v>20.80998977</v>
      </c>
      <c r="R75" s="11">
        <v>32.0531</v>
      </c>
      <c r="S75" s="15">
        <v>0.906666666666667</v>
      </c>
      <c r="T75" s="19">
        <v>10</v>
      </c>
      <c r="U75" s="19">
        <v>10</v>
      </c>
      <c r="V75" s="19">
        <v>0</v>
      </c>
      <c r="W75" s="15">
        <v>0</v>
      </c>
      <c r="X75" s="11">
        <v>15.2133828066667</v>
      </c>
      <c r="Y75" s="11">
        <v>36.48</v>
      </c>
      <c r="Z75" s="15">
        <v>1</v>
      </c>
      <c r="AA75" s="19">
        <v>10</v>
      </c>
      <c r="AB75" s="19">
        <v>10</v>
      </c>
      <c r="AC75" s="19">
        <v>0</v>
      </c>
      <c r="AD75" s="15">
        <v>0</v>
      </c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</row>
    <row r="76" spans="1:50">
      <c r="A76" s="3" t="s">
        <v>44</v>
      </c>
      <c r="B76" s="3" t="s">
        <v>56</v>
      </c>
      <c r="C76" s="4" t="s">
        <v>46</v>
      </c>
      <c r="D76" s="5" t="s">
        <v>57</v>
      </c>
      <c r="E76" s="7">
        <v>1</v>
      </c>
      <c r="F76" s="10"/>
      <c r="G76" s="10">
        <v>0.245</v>
      </c>
      <c r="H76" s="10"/>
      <c r="I76" s="10">
        <v>0.245</v>
      </c>
      <c r="J76" s="14">
        <v>1</v>
      </c>
      <c r="K76" s="10">
        <v>-80.5757841530055</v>
      </c>
      <c r="L76" s="10">
        <v>1.61658014571949</v>
      </c>
      <c r="M76" s="14">
        <v>0.997040072859745</v>
      </c>
      <c r="N76" s="14">
        <v>0.997040072859745</v>
      </c>
      <c r="O76" s="14">
        <v>0.997040072859745</v>
      </c>
      <c r="P76" s="14">
        <v>0.997040072859745</v>
      </c>
      <c r="Q76" s="10">
        <v>57.204325732899</v>
      </c>
      <c r="R76" s="10">
        <v>62.023</v>
      </c>
      <c r="S76" s="14">
        <v>0.986970684039088</v>
      </c>
      <c r="T76" s="18">
        <v>10</v>
      </c>
      <c r="U76" s="18">
        <v>10</v>
      </c>
      <c r="V76" s="18">
        <v>0</v>
      </c>
      <c r="W76" s="14">
        <v>0</v>
      </c>
      <c r="X76" s="10">
        <v>29.3610401337793</v>
      </c>
      <c r="Y76" s="10">
        <v>34.689</v>
      </c>
      <c r="Z76" s="14">
        <v>1</v>
      </c>
      <c r="AA76" s="18">
        <v>10</v>
      </c>
      <c r="AB76" s="18">
        <v>10</v>
      </c>
      <c r="AC76" s="18">
        <v>0</v>
      </c>
      <c r="AD76" s="14">
        <v>0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</row>
    <row r="77" spans="1:50">
      <c r="A77" s="3" t="s">
        <v>44</v>
      </c>
      <c r="B77" s="7" t="s">
        <v>60</v>
      </c>
      <c r="C77" s="4" t="s">
        <v>49</v>
      </c>
      <c r="D77" s="5" t="s">
        <v>50</v>
      </c>
      <c r="E77" s="7">
        <v>1</v>
      </c>
      <c r="F77" s="10">
        <v>2.442</v>
      </c>
      <c r="G77" s="10">
        <v>0.277</v>
      </c>
      <c r="H77" s="10">
        <v>8.8158844765343</v>
      </c>
      <c r="I77" s="10">
        <v>0.2647844662</v>
      </c>
      <c r="J77" s="14">
        <v>0.9559006</v>
      </c>
      <c r="K77" s="10">
        <v>-80.4977559437166</v>
      </c>
      <c r="L77" s="10">
        <v>1.39579791363416</v>
      </c>
      <c r="M77" s="14">
        <v>0.788891449642775</v>
      </c>
      <c r="N77" s="14">
        <v>0.788891449642775</v>
      </c>
      <c r="O77" s="14">
        <v>0.83042212518195</v>
      </c>
      <c r="P77" s="14">
        <v>0.83042212518195</v>
      </c>
      <c r="Q77" s="10">
        <v>33.6823647798742</v>
      </c>
      <c r="R77" s="10">
        <v>56.594</v>
      </c>
      <c r="S77" s="14">
        <v>0.842767295597484</v>
      </c>
      <c r="T77" s="18">
        <v>11</v>
      </c>
      <c r="U77" s="18">
        <v>11</v>
      </c>
      <c r="V77" s="18">
        <v>0</v>
      </c>
      <c r="W77" s="14">
        <v>0</v>
      </c>
      <c r="X77" s="10">
        <v>14.0307929936306</v>
      </c>
      <c r="Y77" s="10">
        <v>27.226</v>
      </c>
      <c r="Z77" s="14">
        <v>0.866242038216561</v>
      </c>
      <c r="AA77" s="18">
        <v>11</v>
      </c>
      <c r="AB77" s="18">
        <v>11</v>
      </c>
      <c r="AC77" s="18">
        <v>0</v>
      </c>
      <c r="AD77" s="14">
        <v>0</v>
      </c>
      <c r="AE77" s="10">
        <v>-82.5379932432432</v>
      </c>
      <c r="AF77" s="10">
        <v>-0.159472972972973</v>
      </c>
      <c r="AG77" s="14">
        <v>0.75625</v>
      </c>
      <c r="AH77" s="14">
        <v>0.75625</v>
      </c>
      <c r="AI77" s="14">
        <v>0.817567567567568</v>
      </c>
      <c r="AJ77" s="14">
        <v>0.817567567567568</v>
      </c>
      <c r="AK77" s="10">
        <v>34.1324</v>
      </c>
      <c r="AL77" s="10">
        <v>53.704</v>
      </c>
      <c r="AM77" s="14">
        <v>0.88</v>
      </c>
      <c r="AN77" s="18">
        <v>11</v>
      </c>
      <c r="AO77" s="18">
        <v>11</v>
      </c>
      <c r="AP77" s="18">
        <v>0</v>
      </c>
      <c r="AQ77" s="14">
        <v>0</v>
      </c>
      <c r="AR77" s="10">
        <v>12.3593773584906</v>
      </c>
      <c r="AS77" s="10">
        <v>22.653</v>
      </c>
      <c r="AT77" s="14">
        <v>0.849056603773585</v>
      </c>
      <c r="AU77" s="18">
        <v>11</v>
      </c>
      <c r="AV77" s="18">
        <v>11</v>
      </c>
      <c r="AW77" s="18">
        <v>0</v>
      </c>
      <c r="AX77" s="14">
        <v>0</v>
      </c>
    </row>
    <row r="78" spans="1:50">
      <c r="A78" s="3" t="s">
        <v>51</v>
      </c>
      <c r="B78" s="4" t="s">
        <v>62</v>
      </c>
      <c r="C78" s="4" t="s">
        <v>46</v>
      </c>
      <c r="D78" s="4" t="s">
        <v>47</v>
      </c>
      <c r="E78" s="5">
        <v>3</v>
      </c>
      <c r="F78" s="11"/>
      <c r="G78" s="11">
        <v>0.378663888888889</v>
      </c>
      <c r="H78" s="11"/>
      <c r="I78" s="11">
        <v>0.378638888888889</v>
      </c>
      <c r="J78" s="15">
        <v>0.999933978388926</v>
      </c>
      <c r="K78" s="11">
        <v>-80.4144893012605</v>
      </c>
      <c r="L78" s="11">
        <v>9.96565925648562</v>
      </c>
      <c r="M78" s="15">
        <v>1</v>
      </c>
      <c r="N78" s="15">
        <v>1</v>
      </c>
      <c r="O78" s="15">
        <v>1</v>
      </c>
      <c r="P78" s="15">
        <v>1</v>
      </c>
      <c r="Q78" s="11">
        <v>42.0396265566667</v>
      </c>
      <c r="R78" s="11">
        <v>54.4295</v>
      </c>
      <c r="S78" s="15">
        <v>1</v>
      </c>
      <c r="T78" s="19">
        <v>10</v>
      </c>
      <c r="U78" s="19">
        <v>10</v>
      </c>
      <c r="V78" s="19">
        <v>0</v>
      </c>
      <c r="W78" s="15">
        <v>0</v>
      </c>
      <c r="X78" s="11">
        <v>13.88392123</v>
      </c>
      <c r="Y78" s="11">
        <v>15.3754</v>
      </c>
      <c r="Z78" s="15">
        <v>1</v>
      </c>
      <c r="AA78" s="19">
        <v>10</v>
      </c>
      <c r="AB78" s="19">
        <v>10</v>
      </c>
      <c r="AC78" s="19">
        <v>0</v>
      </c>
      <c r="AD78" s="15">
        <v>0</v>
      </c>
      <c r="AE78" s="11"/>
      <c r="AF78" s="11"/>
      <c r="AG78" s="15"/>
      <c r="AH78" s="15"/>
      <c r="AI78" s="15"/>
      <c r="AJ78" s="15"/>
      <c r="AK78" s="11"/>
      <c r="AL78" s="11"/>
      <c r="AM78" s="15"/>
      <c r="AN78" s="19"/>
      <c r="AO78" s="19"/>
      <c r="AP78" s="19"/>
      <c r="AQ78" s="15"/>
      <c r="AR78" s="11"/>
      <c r="AS78" s="11"/>
      <c r="AT78" s="15"/>
      <c r="AU78" s="19"/>
      <c r="AV78" s="19"/>
      <c r="AW78" s="19"/>
      <c r="AX78" s="15"/>
    </row>
    <row r="79" spans="1:50">
      <c r="A79" s="3" t="s">
        <v>44</v>
      </c>
      <c r="B79" s="7" t="s">
        <v>60</v>
      </c>
      <c r="C79" s="4" t="s">
        <v>49</v>
      </c>
      <c r="D79" s="5" t="s">
        <v>50</v>
      </c>
      <c r="E79" s="7">
        <v>2</v>
      </c>
      <c r="F79" s="10">
        <v>2.505</v>
      </c>
      <c r="G79" s="10">
        <v>0.518</v>
      </c>
      <c r="H79" s="10">
        <v>4.83590733590734</v>
      </c>
      <c r="I79" s="10">
        <v>0.5106152884</v>
      </c>
      <c r="J79" s="14">
        <v>0.9857438</v>
      </c>
      <c r="K79" s="10">
        <v>-80.3875943719973</v>
      </c>
      <c r="L79" s="10">
        <v>12.8612410432395</v>
      </c>
      <c r="M79" s="14">
        <v>0.961984362361823</v>
      </c>
      <c r="N79" s="14">
        <v>0.965758964680507</v>
      </c>
      <c r="O79" s="14">
        <v>0.979547014413178</v>
      </c>
      <c r="P79" s="14">
        <v>0.983390528483185</v>
      </c>
      <c r="Q79" s="10">
        <v>58.4158495297806</v>
      </c>
      <c r="R79" s="10">
        <v>101.528</v>
      </c>
      <c r="S79" s="14">
        <v>0.904388714733542</v>
      </c>
      <c r="T79" s="18">
        <v>21</v>
      </c>
      <c r="U79" s="18">
        <v>21</v>
      </c>
      <c r="V79" s="18">
        <v>0</v>
      </c>
      <c r="W79" s="14">
        <v>0</v>
      </c>
      <c r="X79" s="10">
        <v>22.0447480916031</v>
      </c>
      <c r="Y79" s="10">
        <v>24.635</v>
      </c>
      <c r="Z79" s="14">
        <v>0.998473282442748</v>
      </c>
      <c r="AA79" s="18">
        <v>22</v>
      </c>
      <c r="AB79" s="18">
        <v>22</v>
      </c>
      <c r="AC79" s="18">
        <v>0</v>
      </c>
      <c r="AD79" s="14">
        <v>0</v>
      </c>
      <c r="AE79" s="10">
        <v>-80.3359182389937</v>
      </c>
      <c r="AF79" s="10">
        <v>13.1596163522013</v>
      </c>
      <c r="AG79" s="14">
        <v>0.963414634146341</v>
      </c>
      <c r="AH79" s="14">
        <v>0.963414634146341</v>
      </c>
      <c r="AI79" s="14">
        <v>0.993710691823899</v>
      </c>
      <c r="AJ79" s="14">
        <v>0.993710691823899</v>
      </c>
      <c r="AK79" s="10">
        <v>58.2652881355932</v>
      </c>
      <c r="AL79" s="10">
        <v>96.422</v>
      </c>
      <c r="AM79" s="14">
        <v>0.915254237288136</v>
      </c>
      <c r="AN79" s="18">
        <v>21</v>
      </c>
      <c r="AO79" s="18">
        <v>21</v>
      </c>
      <c r="AP79" s="18">
        <v>0</v>
      </c>
      <c r="AQ79" s="14">
        <v>0</v>
      </c>
      <c r="AR79" s="10">
        <v>21.6192380952381</v>
      </c>
      <c r="AS79" s="10">
        <v>24.189</v>
      </c>
      <c r="AT79" s="14">
        <v>1</v>
      </c>
      <c r="AU79" s="18">
        <v>22</v>
      </c>
      <c r="AV79" s="18">
        <v>22</v>
      </c>
      <c r="AW79" s="18">
        <v>0</v>
      </c>
      <c r="AX79" s="14">
        <v>0</v>
      </c>
    </row>
    <row r="80" spans="1:50">
      <c r="A80" s="3" t="s">
        <v>51</v>
      </c>
      <c r="B80" s="4" t="s">
        <v>62</v>
      </c>
      <c r="C80" s="4" t="s">
        <v>46</v>
      </c>
      <c r="D80" s="4" t="s">
        <v>47</v>
      </c>
      <c r="E80" s="5">
        <v>2</v>
      </c>
      <c r="F80" s="11"/>
      <c r="G80" s="11">
        <v>0.378505555555556</v>
      </c>
      <c r="H80" s="11"/>
      <c r="I80" s="11">
        <v>0.378477777777778</v>
      </c>
      <c r="J80" s="15">
        <v>0.99992661196812</v>
      </c>
      <c r="K80" s="11">
        <v>-80.3150929946664</v>
      </c>
      <c r="L80" s="11">
        <v>10.8304721624926</v>
      </c>
      <c r="M80" s="15">
        <v>0.999118813335292</v>
      </c>
      <c r="N80" s="15">
        <v>0.999118813335292</v>
      </c>
      <c r="O80" s="15">
        <v>0.999118813335292</v>
      </c>
      <c r="P80" s="15">
        <v>0.999118813335292</v>
      </c>
      <c r="Q80" s="11">
        <v>36.6691364233333</v>
      </c>
      <c r="R80" s="11">
        <v>50.4038</v>
      </c>
      <c r="S80" s="15">
        <v>0.976666666666667</v>
      </c>
      <c r="T80" s="19">
        <v>10</v>
      </c>
      <c r="U80" s="19">
        <v>10</v>
      </c>
      <c r="V80" s="19">
        <v>0</v>
      </c>
      <c r="W80" s="15">
        <v>0</v>
      </c>
      <c r="X80" s="11">
        <v>13.3932353066667</v>
      </c>
      <c r="Y80" s="11">
        <v>14.9355</v>
      </c>
      <c r="Z80" s="15">
        <v>1</v>
      </c>
      <c r="AA80" s="19">
        <v>10</v>
      </c>
      <c r="AB80" s="19">
        <v>10</v>
      </c>
      <c r="AC80" s="19">
        <v>0</v>
      </c>
      <c r="AD80" s="15">
        <v>0</v>
      </c>
      <c r="AE80" s="11"/>
      <c r="AF80" s="11"/>
      <c r="AG80" s="15"/>
      <c r="AH80" s="15"/>
      <c r="AI80" s="15"/>
      <c r="AJ80" s="15"/>
      <c r="AK80" s="11"/>
      <c r="AL80" s="11"/>
      <c r="AM80" s="15"/>
      <c r="AN80" s="19"/>
      <c r="AO80" s="19"/>
      <c r="AP80" s="19"/>
      <c r="AQ80" s="15"/>
      <c r="AR80" s="11"/>
      <c r="AS80" s="11"/>
      <c r="AT80" s="15"/>
      <c r="AU80" s="19"/>
      <c r="AV80" s="19"/>
      <c r="AW80" s="19"/>
      <c r="AX80" s="15"/>
    </row>
    <row r="81" spans="1:50">
      <c r="A81" s="3" t="s">
        <v>51</v>
      </c>
      <c r="B81" s="6" t="s">
        <v>52</v>
      </c>
      <c r="C81" s="6" t="s">
        <v>49</v>
      </c>
      <c r="D81" s="6" t="s">
        <v>61</v>
      </c>
      <c r="E81" s="4">
        <v>2</v>
      </c>
      <c r="F81" s="11">
        <v>2.12726338416338</v>
      </c>
      <c r="G81" s="11">
        <v>0.449788888888889</v>
      </c>
      <c r="H81" s="11">
        <v>4.72947072885315</v>
      </c>
      <c r="I81" s="11">
        <v>0.449758333333333</v>
      </c>
      <c r="J81" s="15">
        <v>0.999932066895581</v>
      </c>
      <c r="K81" s="11">
        <v>-80.2884119642592</v>
      </c>
      <c r="L81" s="11">
        <v>10.7011844099008</v>
      </c>
      <c r="M81" s="15">
        <v>0.993628981886321</v>
      </c>
      <c r="N81" s="15">
        <v>0.993628981886321</v>
      </c>
      <c r="O81" s="15">
        <v>0.993628981886321</v>
      </c>
      <c r="P81" s="15">
        <v>0.993628981886321</v>
      </c>
      <c r="Q81" s="11">
        <v>17.0577816851852</v>
      </c>
      <c r="R81" s="11">
        <v>34.7835</v>
      </c>
      <c r="S81" s="15">
        <v>0.632716049382716</v>
      </c>
      <c r="T81" s="19">
        <v>11</v>
      </c>
      <c r="U81" s="19">
        <v>11</v>
      </c>
      <c r="V81" s="19">
        <v>0</v>
      </c>
      <c r="W81" s="15">
        <v>0</v>
      </c>
      <c r="X81" s="11">
        <v>8.62242249333333</v>
      </c>
      <c r="Y81" s="11">
        <v>13.1727</v>
      </c>
      <c r="Z81" s="15">
        <v>0.93</v>
      </c>
      <c r="AA81" s="19">
        <v>10</v>
      </c>
      <c r="AB81" s="19">
        <v>10</v>
      </c>
      <c r="AC81" s="19">
        <v>0</v>
      </c>
      <c r="AD81" s="15">
        <v>0</v>
      </c>
      <c r="AE81" s="11">
        <v>-80.5190488875241</v>
      </c>
      <c r="AF81" s="11">
        <v>10.3409320390607</v>
      </c>
      <c r="AG81" s="15">
        <v>1</v>
      </c>
      <c r="AH81" s="15">
        <v>1</v>
      </c>
      <c r="AI81" s="15">
        <v>1</v>
      </c>
      <c r="AJ81" s="15">
        <v>1</v>
      </c>
      <c r="AK81" s="11">
        <v>17.5654263309545</v>
      </c>
      <c r="AL81" s="11">
        <v>37.580143875</v>
      </c>
      <c r="AM81" s="15">
        <v>0.625</v>
      </c>
      <c r="AN81" s="19">
        <v>11</v>
      </c>
      <c r="AO81" s="19">
        <v>11</v>
      </c>
      <c r="AP81" s="19">
        <v>0</v>
      </c>
      <c r="AQ81" s="15">
        <v>0</v>
      </c>
      <c r="AR81" s="11">
        <v>8.28388714555442</v>
      </c>
      <c r="AS81" s="11">
        <v>12.3940965714286</v>
      </c>
      <c r="AT81" s="15">
        <v>0.96875</v>
      </c>
      <c r="AU81" s="19">
        <v>10</v>
      </c>
      <c r="AV81" s="19">
        <v>10</v>
      </c>
      <c r="AW81" s="19">
        <v>0</v>
      </c>
      <c r="AX81" s="15">
        <v>0</v>
      </c>
    </row>
    <row r="82" spans="1:50">
      <c r="A82" s="3" t="s">
        <v>44</v>
      </c>
      <c r="B82" s="3" t="s">
        <v>59</v>
      </c>
      <c r="C82" s="4" t="s">
        <v>49</v>
      </c>
      <c r="D82" s="5" t="s">
        <v>50</v>
      </c>
      <c r="E82" s="7">
        <v>3</v>
      </c>
      <c r="F82" s="10">
        <v>2.714</v>
      </c>
      <c r="G82" s="10">
        <v>0.696</v>
      </c>
      <c r="H82" s="10">
        <v>3.89942528735632</v>
      </c>
      <c r="I82" s="10">
        <v>0.6397431204</v>
      </c>
      <c r="J82" s="14">
        <v>0.91917115</v>
      </c>
      <c r="K82" s="10">
        <v>-80.2217664324897</v>
      </c>
      <c r="L82" s="10">
        <v>3.04628803772495</v>
      </c>
      <c r="M82" s="14">
        <v>0.769420035149385</v>
      </c>
      <c r="N82" s="14">
        <v>0.77390158172232</v>
      </c>
      <c r="O82" s="14">
        <v>0.84265229525551</v>
      </c>
      <c r="P82" s="14">
        <v>0.847560388797998</v>
      </c>
      <c r="Q82" s="10">
        <v>43.8585707317073</v>
      </c>
      <c r="R82" s="10">
        <v>90.979</v>
      </c>
      <c r="S82" s="14">
        <v>0.828048780487805</v>
      </c>
      <c r="T82" s="18">
        <v>29</v>
      </c>
      <c r="U82" s="18">
        <v>29</v>
      </c>
      <c r="V82" s="18">
        <v>0</v>
      </c>
      <c r="W82" s="14">
        <v>0</v>
      </c>
      <c r="X82" s="10">
        <v>58.4796666666667</v>
      </c>
      <c r="Y82" s="10">
        <v>86.746</v>
      </c>
      <c r="Z82" s="14">
        <v>0.986318407960199</v>
      </c>
      <c r="AA82" s="18">
        <v>29</v>
      </c>
      <c r="AB82" s="18">
        <v>29</v>
      </c>
      <c r="AC82" s="18">
        <v>0</v>
      </c>
      <c r="AD82" s="14">
        <v>0</v>
      </c>
      <c r="AE82" s="10">
        <v>-79.1524171428571</v>
      </c>
      <c r="AF82" s="10">
        <v>2.70966285714286</v>
      </c>
      <c r="AG82" s="14">
        <v>0.728155339805825</v>
      </c>
      <c r="AH82" s="14">
        <v>0.733009708737864</v>
      </c>
      <c r="AI82" s="14">
        <v>0.857142857142857</v>
      </c>
      <c r="AJ82" s="14">
        <v>0.862857142857143</v>
      </c>
      <c r="AK82" s="10">
        <v>45.1664202898551</v>
      </c>
      <c r="AL82" s="10">
        <v>87.039</v>
      </c>
      <c r="AM82" s="14">
        <v>0.898550724637681</v>
      </c>
      <c r="AN82" s="18">
        <v>29</v>
      </c>
      <c r="AO82" s="18">
        <v>29</v>
      </c>
      <c r="AP82" s="18">
        <v>0</v>
      </c>
      <c r="AQ82" s="14">
        <v>0</v>
      </c>
      <c r="AR82" s="10">
        <v>57.9195671641791</v>
      </c>
      <c r="AS82" s="10">
        <v>84.879</v>
      </c>
      <c r="AT82" s="14">
        <v>0.985074626865672</v>
      </c>
      <c r="AU82" s="18">
        <v>29</v>
      </c>
      <c r="AV82" s="18">
        <v>29</v>
      </c>
      <c r="AW82" s="18">
        <v>0</v>
      </c>
      <c r="AX82" s="14">
        <v>0</v>
      </c>
    </row>
    <row r="83" spans="1:50">
      <c r="A83" s="3" t="s">
        <v>44</v>
      </c>
      <c r="B83" s="3" t="s">
        <v>56</v>
      </c>
      <c r="C83" s="4" t="s">
        <v>49</v>
      </c>
      <c r="D83" s="5" t="s">
        <v>61</v>
      </c>
      <c r="E83" s="7">
        <v>2</v>
      </c>
      <c r="F83" s="10">
        <v>2.863</v>
      </c>
      <c r="G83" s="10">
        <v>0.654</v>
      </c>
      <c r="H83" s="10">
        <v>4.37767584097859</v>
      </c>
      <c r="I83" s="10">
        <v>0.654</v>
      </c>
      <c r="J83" s="14">
        <v>1</v>
      </c>
      <c r="K83" s="10">
        <v>-80.1762200252903</v>
      </c>
      <c r="L83" s="10">
        <v>11.6228400965628</v>
      </c>
      <c r="M83" s="14">
        <v>0.990113806184619</v>
      </c>
      <c r="N83" s="14">
        <v>0.99160823083113</v>
      </c>
      <c r="O83" s="14">
        <v>0.990113806184619</v>
      </c>
      <c r="P83" s="14">
        <v>0.99160823083113</v>
      </c>
      <c r="Q83" s="10">
        <v>28.8767523584906</v>
      </c>
      <c r="R83" s="10">
        <v>59.631</v>
      </c>
      <c r="S83" s="14">
        <v>0.798349056603774</v>
      </c>
      <c r="T83" s="18">
        <v>28</v>
      </c>
      <c r="U83" s="18">
        <v>28</v>
      </c>
      <c r="V83" s="18">
        <v>0</v>
      </c>
      <c r="W83" s="14">
        <v>0</v>
      </c>
      <c r="X83" s="10">
        <v>21.7177725587145</v>
      </c>
      <c r="Y83" s="10">
        <v>33.048</v>
      </c>
      <c r="Z83" s="14">
        <v>0.971569839307787</v>
      </c>
      <c r="AA83" s="18">
        <v>27</v>
      </c>
      <c r="AB83" s="18">
        <v>27</v>
      </c>
      <c r="AC83" s="18">
        <v>0</v>
      </c>
      <c r="AD83" s="14">
        <v>0</v>
      </c>
      <c r="AE83" s="10">
        <v>-80.7778033707865</v>
      </c>
      <c r="AF83" s="10">
        <v>11.5432134831461</v>
      </c>
      <c r="AG83" s="14">
        <v>0.99438202247191</v>
      </c>
      <c r="AH83" s="14">
        <v>1</v>
      </c>
      <c r="AI83" s="14">
        <v>0.99438202247191</v>
      </c>
      <c r="AJ83" s="14">
        <v>1</v>
      </c>
      <c r="AK83" s="10">
        <v>28.3651587301587</v>
      </c>
      <c r="AL83" s="10">
        <v>52.511</v>
      </c>
      <c r="AM83" s="14">
        <v>0.793650793650794</v>
      </c>
      <c r="AN83" s="18">
        <v>28</v>
      </c>
      <c r="AO83" s="18">
        <v>28</v>
      </c>
      <c r="AP83" s="18">
        <v>0</v>
      </c>
      <c r="AQ83" s="14">
        <v>0</v>
      </c>
      <c r="AR83" s="10">
        <v>19.6448717948718</v>
      </c>
      <c r="AS83" s="10">
        <v>31.558</v>
      </c>
      <c r="AT83" s="14">
        <v>0.974358974358974</v>
      </c>
      <c r="AU83" s="18">
        <v>27</v>
      </c>
      <c r="AV83" s="18">
        <v>27</v>
      </c>
      <c r="AW83" s="18">
        <v>0</v>
      </c>
      <c r="AX83" s="14">
        <v>0</v>
      </c>
    </row>
    <row r="84" spans="1:50">
      <c r="A84" s="3" t="s">
        <v>51</v>
      </c>
      <c r="B84" s="4" t="s">
        <v>62</v>
      </c>
      <c r="C84" s="4" t="s">
        <v>46</v>
      </c>
      <c r="D84" s="4" t="s">
        <v>53</v>
      </c>
      <c r="E84" s="5">
        <v>1</v>
      </c>
      <c r="F84" s="11"/>
      <c r="G84" s="11">
        <v>0.381972222222222</v>
      </c>
      <c r="H84" s="11"/>
      <c r="I84" s="11">
        <v>0.381944444444444</v>
      </c>
      <c r="J84" s="15">
        <v>0.999927278016144</v>
      </c>
      <c r="K84" s="11">
        <v>-80.1701354314243</v>
      </c>
      <c r="L84" s="11">
        <v>19.1972958326444</v>
      </c>
      <c r="M84" s="15">
        <v>1</v>
      </c>
      <c r="N84" s="15">
        <v>1</v>
      </c>
      <c r="O84" s="15">
        <v>1</v>
      </c>
      <c r="P84" s="15">
        <v>1</v>
      </c>
      <c r="Q84" s="11">
        <v>57.84605161</v>
      </c>
      <c r="R84" s="11">
        <v>68.7677</v>
      </c>
      <c r="S84" s="15">
        <v>1</v>
      </c>
      <c r="T84" s="19">
        <v>10</v>
      </c>
      <c r="U84" s="19">
        <v>10</v>
      </c>
      <c r="V84" s="19">
        <v>0</v>
      </c>
      <c r="W84" s="15">
        <v>0</v>
      </c>
      <c r="X84" s="11">
        <v>74.5296702066667</v>
      </c>
      <c r="Y84" s="11">
        <v>87.1271</v>
      </c>
      <c r="Z84" s="15">
        <v>1</v>
      </c>
      <c r="AA84" s="19">
        <v>10</v>
      </c>
      <c r="AB84" s="19">
        <v>10</v>
      </c>
      <c r="AC84" s="19">
        <v>0</v>
      </c>
      <c r="AD84" s="15">
        <v>0</v>
      </c>
      <c r="AE84" s="11"/>
      <c r="AF84" s="11"/>
      <c r="AG84" s="15"/>
      <c r="AH84" s="15"/>
      <c r="AI84" s="15"/>
      <c r="AJ84" s="15"/>
      <c r="AK84" s="11"/>
      <c r="AL84" s="11"/>
      <c r="AM84" s="15"/>
      <c r="AN84" s="19"/>
      <c r="AO84" s="19"/>
      <c r="AP84" s="19"/>
      <c r="AQ84" s="15"/>
      <c r="AR84" s="11"/>
      <c r="AS84" s="11"/>
      <c r="AT84" s="15"/>
      <c r="AU84" s="19"/>
      <c r="AV84" s="19"/>
      <c r="AW84" s="19"/>
      <c r="AX84" s="15"/>
    </row>
    <row r="85" spans="1:50">
      <c r="A85" s="3" t="s">
        <v>44</v>
      </c>
      <c r="B85" s="3" t="s">
        <v>45</v>
      </c>
      <c r="C85" s="4" t="s">
        <v>49</v>
      </c>
      <c r="D85" s="5" t="s">
        <v>50</v>
      </c>
      <c r="E85" s="7">
        <v>3</v>
      </c>
      <c r="F85" s="10">
        <v>4.84</v>
      </c>
      <c r="G85" s="10">
        <v>1.009</v>
      </c>
      <c r="H85" s="10">
        <v>4.79682854311199</v>
      </c>
      <c r="I85" s="10">
        <v>1.0027335046</v>
      </c>
      <c r="J85" s="14">
        <v>0.9937894</v>
      </c>
      <c r="K85" s="10">
        <v>-80.1079801108575</v>
      </c>
      <c r="L85" s="10">
        <v>7.26547316596022</v>
      </c>
      <c r="M85" s="14">
        <v>0.90297106608842</v>
      </c>
      <c r="N85" s="14">
        <v>0.90310052430578</v>
      </c>
      <c r="O85" s="14">
        <v>0.909683730029345</v>
      </c>
      <c r="P85" s="14">
        <v>0.9098141506358</v>
      </c>
      <c r="Q85" s="10">
        <v>7.74302433281005</v>
      </c>
      <c r="R85" s="10">
        <v>16.56</v>
      </c>
      <c r="S85" s="14">
        <v>0.32182103610675</v>
      </c>
      <c r="T85" s="18">
        <v>42</v>
      </c>
      <c r="U85" s="18">
        <v>42</v>
      </c>
      <c r="V85" s="18">
        <v>0</v>
      </c>
      <c r="W85" s="14">
        <v>0</v>
      </c>
      <c r="X85" s="10">
        <v>6.33973510971787</v>
      </c>
      <c r="Y85" s="10">
        <v>10.461</v>
      </c>
      <c r="Z85" s="14">
        <v>0.903605015673981</v>
      </c>
      <c r="AA85" s="18">
        <v>43</v>
      </c>
      <c r="AB85" s="18">
        <v>43</v>
      </c>
      <c r="AC85" s="18">
        <v>0</v>
      </c>
      <c r="AD85" s="14">
        <v>0</v>
      </c>
      <c r="AE85" s="10">
        <v>-79.9212332268371</v>
      </c>
      <c r="AF85" s="10">
        <v>6.81862619808307</v>
      </c>
      <c r="AG85" s="14">
        <v>0.926984126984127</v>
      </c>
      <c r="AH85" s="14">
        <v>0.926984126984127</v>
      </c>
      <c r="AI85" s="14">
        <v>0.932907348242811</v>
      </c>
      <c r="AJ85" s="14">
        <v>0.932907348242811</v>
      </c>
      <c r="AK85" s="10">
        <v>7.48210655737705</v>
      </c>
      <c r="AL85" s="10">
        <v>15.48</v>
      </c>
      <c r="AM85" s="14">
        <v>0.327868852459016</v>
      </c>
      <c r="AN85" s="18">
        <v>42</v>
      </c>
      <c r="AO85" s="18">
        <v>42</v>
      </c>
      <c r="AP85" s="18">
        <v>0</v>
      </c>
      <c r="AQ85" s="14">
        <v>0</v>
      </c>
      <c r="AR85" s="10">
        <v>6.4131652892562</v>
      </c>
      <c r="AS85" s="10">
        <v>9.758</v>
      </c>
      <c r="AT85" s="14">
        <v>0.925619834710744</v>
      </c>
      <c r="AU85" s="18">
        <v>43</v>
      </c>
      <c r="AV85" s="18">
        <v>43</v>
      </c>
      <c r="AW85" s="18">
        <v>0</v>
      </c>
      <c r="AX85" s="14">
        <v>0</v>
      </c>
    </row>
    <row r="86" spans="1:50">
      <c r="A86" s="3" t="s">
        <v>51</v>
      </c>
      <c r="B86" s="5" t="s">
        <v>55</v>
      </c>
      <c r="C86" s="5" t="s">
        <v>46</v>
      </c>
      <c r="D86" s="5" t="s">
        <v>53</v>
      </c>
      <c r="E86" s="5">
        <v>1</v>
      </c>
      <c r="F86" s="11" t="s">
        <v>54</v>
      </c>
      <c r="G86" s="11">
        <v>0.377944444444444</v>
      </c>
      <c r="H86" s="11" t="s">
        <v>54</v>
      </c>
      <c r="I86" s="11">
        <v>0.377916666666667</v>
      </c>
      <c r="J86" s="15">
        <v>0.999926503013377</v>
      </c>
      <c r="K86" s="11">
        <v>-80.0077982735156</v>
      </c>
      <c r="L86" s="11">
        <v>10.0300330651663</v>
      </c>
      <c r="M86" s="15">
        <v>1</v>
      </c>
      <c r="N86" s="15">
        <v>1</v>
      </c>
      <c r="O86" s="15">
        <v>1</v>
      </c>
      <c r="P86" s="15">
        <v>1</v>
      </c>
      <c r="Q86" s="11">
        <v>31.09115879</v>
      </c>
      <c r="R86" s="11">
        <v>42.173</v>
      </c>
      <c r="S86" s="15">
        <v>0.996666666666667</v>
      </c>
      <c r="T86" s="19">
        <v>10</v>
      </c>
      <c r="U86" s="19">
        <v>10</v>
      </c>
      <c r="V86" s="19">
        <v>0</v>
      </c>
      <c r="W86" s="15">
        <v>0</v>
      </c>
      <c r="X86" s="11">
        <v>58.7348828266667</v>
      </c>
      <c r="Y86" s="11">
        <v>73.5005</v>
      </c>
      <c r="Z86" s="15">
        <v>1</v>
      </c>
      <c r="AA86" s="19">
        <v>10</v>
      </c>
      <c r="AB86" s="19">
        <v>10</v>
      </c>
      <c r="AC86" s="19">
        <v>0</v>
      </c>
      <c r="AD86" s="15">
        <v>0</v>
      </c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</row>
    <row r="87" spans="1:50">
      <c r="A87" s="3" t="s">
        <v>51</v>
      </c>
      <c r="B87" s="4" t="s">
        <v>58</v>
      </c>
      <c r="C87" s="5" t="s">
        <v>46</v>
      </c>
      <c r="D87" s="6" t="s">
        <v>65</v>
      </c>
      <c r="E87" s="4">
        <v>3</v>
      </c>
      <c r="F87" s="11" t="s">
        <v>54</v>
      </c>
      <c r="G87" s="11">
        <v>0.393916666666667</v>
      </c>
      <c r="H87" s="11" t="s">
        <v>54</v>
      </c>
      <c r="I87" s="11">
        <v>0.393888888888889</v>
      </c>
      <c r="J87" s="15">
        <v>0.999929483111205</v>
      </c>
      <c r="K87" s="11">
        <v>-79.6503998783349</v>
      </c>
      <c r="L87" s="11">
        <v>5.04163900444144</v>
      </c>
      <c r="M87" s="15">
        <v>0.993926553672316</v>
      </c>
      <c r="N87" s="15">
        <v>0.99406779661017</v>
      </c>
      <c r="O87" s="15">
        <v>0.993926553672316</v>
      </c>
      <c r="P87" s="15">
        <v>0.99406779661017</v>
      </c>
      <c r="Q87" s="11">
        <v>13.5508805927152</v>
      </c>
      <c r="R87" s="11">
        <v>32.9768</v>
      </c>
      <c r="S87" s="15">
        <v>0.377483443708609</v>
      </c>
      <c r="T87" s="19">
        <v>10</v>
      </c>
      <c r="U87" s="19">
        <v>10</v>
      </c>
      <c r="V87" s="19">
        <v>0</v>
      </c>
      <c r="W87" s="15">
        <v>0</v>
      </c>
      <c r="X87" s="11">
        <v>12.0998633566667</v>
      </c>
      <c r="Y87" s="11">
        <v>22.1464</v>
      </c>
      <c r="Z87" s="15">
        <v>0.856666666666667</v>
      </c>
      <c r="AA87" s="19">
        <v>10</v>
      </c>
      <c r="AB87" s="19">
        <v>10</v>
      </c>
      <c r="AC87" s="19">
        <v>0</v>
      </c>
      <c r="AD87" s="15">
        <v>0</v>
      </c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</row>
    <row r="88" spans="1:50">
      <c r="A88" s="3" t="s">
        <v>44</v>
      </c>
      <c r="B88" s="7" t="s">
        <v>60</v>
      </c>
      <c r="C88" s="4" t="s">
        <v>49</v>
      </c>
      <c r="D88" s="5" t="s">
        <v>50</v>
      </c>
      <c r="E88" s="7">
        <v>1</v>
      </c>
      <c r="F88" s="10">
        <v>3.814</v>
      </c>
      <c r="G88" s="10">
        <v>0.407</v>
      </c>
      <c r="H88" s="10">
        <v>9.37100737100737</v>
      </c>
      <c r="I88" s="10">
        <v>0.38763491558</v>
      </c>
      <c r="J88" s="14">
        <v>0.95241994</v>
      </c>
      <c r="K88" s="10">
        <v>-79.2423878659825</v>
      </c>
      <c r="L88" s="10">
        <v>1.66396755206761</v>
      </c>
      <c r="M88" s="14">
        <v>0.772759856630824</v>
      </c>
      <c r="N88" s="14">
        <v>0.772759856630824</v>
      </c>
      <c r="O88" s="14">
        <v>0.813462118925445</v>
      </c>
      <c r="P88" s="14">
        <v>0.813462118925445</v>
      </c>
      <c r="Q88" s="10">
        <v>36.5443514150943</v>
      </c>
      <c r="R88" s="10">
        <v>65.319</v>
      </c>
      <c r="S88" s="14">
        <v>0.867924528301887</v>
      </c>
      <c r="T88" s="18">
        <v>15</v>
      </c>
      <c r="U88" s="18">
        <v>15</v>
      </c>
      <c r="V88" s="18">
        <v>0</v>
      </c>
      <c r="W88" s="14">
        <v>0</v>
      </c>
      <c r="X88" s="10">
        <v>29.4587607758621</v>
      </c>
      <c r="Y88" s="10">
        <v>50.966</v>
      </c>
      <c r="Z88" s="14">
        <v>0.987068965517241</v>
      </c>
      <c r="AA88" s="18">
        <v>16</v>
      </c>
      <c r="AB88" s="18">
        <v>16</v>
      </c>
      <c r="AC88" s="18">
        <v>0</v>
      </c>
      <c r="AD88" s="14">
        <v>0</v>
      </c>
      <c r="AE88" s="10">
        <v>-77.7247522522523</v>
      </c>
      <c r="AF88" s="10">
        <v>1.96433783783784</v>
      </c>
      <c r="AG88" s="14">
        <v>0.787234042553192</v>
      </c>
      <c r="AH88" s="14">
        <v>0.787234042553192</v>
      </c>
      <c r="AI88" s="14">
        <v>0.833333333333333</v>
      </c>
      <c r="AJ88" s="14">
        <v>0.833333333333333</v>
      </c>
      <c r="AK88" s="10">
        <v>36.158141025641</v>
      </c>
      <c r="AL88" s="10">
        <v>63.33</v>
      </c>
      <c r="AM88" s="14">
        <v>0.833333333333333</v>
      </c>
      <c r="AN88" s="18">
        <v>15</v>
      </c>
      <c r="AO88" s="18">
        <v>15</v>
      </c>
      <c r="AP88" s="18">
        <v>0</v>
      </c>
      <c r="AQ88" s="14">
        <v>0</v>
      </c>
      <c r="AR88" s="10">
        <v>31.9819866666667</v>
      </c>
      <c r="AS88" s="10">
        <v>51.212</v>
      </c>
      <c r="AT88" s="14">
        <v>1</v>
      </c>
      <c r="AU88" s="18">
        <v>16</v>
      </c>
      <c r="AV88" s="18">
        <v>16</v>
      </c>
      <c r="AW88" s="18">
        <v>0</v>
      </c>
      <c r="AX88" s="14">
        <v>0</v>
      </c>
    </row>
    <row r="89" spans="1:50">
      <c r="A89" s="3" t="s">
        <v>51</v>
      </c>
      <c r="B89" s="4" t="s">
        <v>62</v>
      </c>
      <c r="C89" s="4" t="s">
        <v>49</v>
      </c>
      <c r="D89" s="4" t="s">
        <v>61</v>
      </c>
      <c r="E89" s="4">
        <v>2</v>
      </c>
      <c r="F89" s="11">
        <v>2.1691858626008</v>
      </c>
      <c r="G89" s="11">
        <v>0.504855555555556</v>
      </c>
      <c r="H89" s="11">
        <v>4.2966465135038</v>
      </c>
      <c r="I89" s="11">
        <v>0.504827777777778</v>
      </c>
      <c r="J89" s="15">
        <v>0.999944978761802</v>
      </c>
      <c r="K89" s="11">
        <v>-79.2274193295627</v>
      </c>
      <c r="L89" s="11">
        <v>10.55116365633</v>
      </c>
      <c r="M89" s="15">
        <v>0.989190381645709</v>
      </c>
      <c r="N89" s="15">
        <v>0.990844915067284</v>
      </c>
      <c r="O89" s="15">
        <v>0.989190381645709</v>
      </c>
      <c r="P89" s="15">
        <v>0.990844915067284</v>
      </c>
      <c r="Q89" s="11">
        <v>31.8356589795455</v>
      </c>
      <c r="R89" s="11">
        <v>65.3832</v>
      </c>
      <c r="S89" s="15">
        <v>0.75</v>
      </c>
      <c r="T89" s="19">
        <v>15</v>
      </c>
      <c r="U89" s="19">
        <v>15</v>
      </c>
      <c r="V89" s="19">
        <v>0</v>
      </c>
      <c r="W89" s="15">
        <v>0</v>
      </c>
      <c r="X89" s="11">
        <v>12.243704952381</v>
      </c>
      <c r="Y89" s="11">
        <v>14.9503</v>
      </c>
      <c r="Z89" s="15">
        <v>1</v>
      </c>
      <c r="AA89" s="19">
        <v>14</v>
      </c>
      <c r="AB89" s="19">
        <v>14</v>
      </c>
      <c r="AC89" s="19">
        <v>0</v>
      </c>
      <c r="AD89" s="15">
        <v>0</v>
      </c>
      <c r="AE89" s="11">
        <v>-79.3694596619866</v>
      </c>
      <c r="AF89" s="11">
        <v>10.4564073794513</v>
      </c>
      <c r="AG89" s="15">
        <v>1</v>
      </c>
      <c r="AH89" s="15">
        <v>1</v>
      </c>
      <c r="AI89" s="15">
        <v>1</v>
      </c>
      <c r="AJ89" s="15">
        <v>1</v>
      </c>
      <c r="AK89" s="11">
        <v>34.2302840876708</v>
      </c>
      <c r="AL89" s="11">
        <v>67.6317543333333</v>
      </c>
      <c r="AM89" s="15">
        <v>0.780487804878049</v>
      </c>
      <c r="AN89" s="19">
        <v>15</v>
      </c>
      <c r="AO89" s="19">
        <v>15</v>
      </c>
      <c r="AP89" s="19">
        <v>0</v>
      </c>
      <c r="AQ89" s="15">
        <v>0</v>
      </c>
      <c r="AR89" s="11">
        <v>12.0007224451873</v>
      </c>
      <c r="AS89" s="11">
        <v>14.4524041428571</v>
      </c>
      <c r="AT89" s="15">
        <v>1</v>
      </c>
      <c r="AU89" s="19">
        <v>14</v>
      </c>
      <c r="AV89" s="19">
        <v>14</v>
      </c>
      <c r="AW89" s="19">
        <v>0</v>
      </c>
      <c r="AX89" s="15">
        <v>0</v>
      </c>
    </row>
    <row r="90" spans="1:50">
      <c r="A90" s="3" t="s">
        <v>44</v>
      </c>
      <c r="B90" s="3" t="s">
        <v>48</v>
      </c>
      <c r="C90" s="4" t="s">
        <v>49</v>
      </c>
      <c r="D90" s="5" t="s">
        <v>50</v>
      </c>
      <c r="E90" s="7">
        <v>2</v>
      </c>
      <c r="F90" s="10">
        <v>2.793</v>
      </c>
      <c r="G90" s="10">
        <v>0.681</v>
      </c>
      <c r="H90" s="10">
        <v>4.10132158590308</v>
      </c>
      <c r="I90" s="10">
        <v>0.681</v>
      </c>
      <c r="J90" s="14">
        <v>1</v>
      </c>
      <c r="K90" s="10">
        <v>-79.1803366540002</v>
      </c>
      <c r="L90" s="10">
        <v>12.4502220396426</v>
      </c>
      <c r="M90" s="14">
        <v>0.983567834035124</v>
      </c>
      <c r="N90" s="14">
        <v>0.998048680291671</v>
      </c>
      <c r="O90" s="14">
        <v>0.983567834035124</v>
      </c>
      <c r="P90" s="14">
        <v>0.998048680291671</v>
      </c>
      <c r="Q90" s="10">
        <v>17.8318289920725</v>
      </c>
      <c r="R90" s="10">
        <v>31.398</v>
      </c>
      <c r="S90" s="14">
        <v>0.782559456398641</v>
      </c>
      <c r="T90" s="18">
        <v>29</v>
      </c>
      <c r="U90" s="18">
        <v>29</v>
      </c>
      <c r="V90" s="18">
        <v>0</v>
      </c>
      <c r="W90" s="14">
        <v>0</v>
      </c>
      <c r="X90" s="10">
        <v>6.9874822043628</v>
      </c>
      <c r="Y90" s="10">
        <v>9.626</v>
      </c>
      <c r="Z90" s="14">
        <v>0.95292766934558</v>
      </c>
      <c r="AA90" s="18">
        <v>29</v>
      </c>
      <c r="AB90" s="18">
        <v>29</v>
      </c>
      <c r="AC90" s="18">
        <v>0</v>
      </c>
      <c r="AD90" s="14">
        <v>0</v>
      </c>
      <c r="AE90" s="10">
        <v>-79.1119891304348</v>
      </c>
      <c r="AF90" s="10">
        <v>12.4840108695652</v>
      </c>
      <c r="AG90" s="14">
        <v>0.983695652173913</v>
      </c>
      <c r="AH90" s="14">
        <v>1</v>
      </c>
      <c r="AI90" s="14">
        <v>0.983695652173913</v>
      </c>
      <c r="AJ90" s="14">
        <v>1</v>
      </c>
      <c r="AK90" s="10">
        <v>17.4728115942029</v>
      </c>
      <c r="AL90" s="10">
        <v>31.158</v>
      </c>
      <c r="AM90" s="14">
        <v>0.797101449275362</v>
      </c>
      <c r="AN90" s="18">
        <v>29</v>
      </c>
      <c r="AO90" s="18">
        <v>29</v>
      </c>
      <c r="AP90" s="18">
        <v>0</v>
      </c>
      <c r="AQ90" s="14">
        <v>0</v>
      </c>
      <c r="AR90" s="10">
        <v>7.06330864197531</v>
      </c>
      <c r="AS90" s="10">
        <v>9.166</v>
      </c>
      <c r="AT90" s="14">
        <v>0.962962962962963</v>
      </c>
      <c r="AU90" s="18">
        <v>29</v>
      </c>
      <c r="AV90" s="18">
        <v>29</v>
      </c>
      <c r="AW90" s="18">
        <v>0</v>
      </c>
      <c r="AX90" s="14">
        <v>0</v>
      </c>
    </row>
    <row r="91" spans="1:50">
      <c r="A91" s="3" t="s">
        <v>51</v>
      </c>
      <c r="B91" s="5" t="s">
        <v>55</v>
      </c>
      <c r="C91" s="5" t="s">
        <v>49</v>
      </c>
      <c r="D91" s="5" t="s">
        <v>64</v>
      </c>
      <c r="E91" s="5">
        <v>2</v>
      </c>
      <c r="F91" s="11">
        <v>208.280553468883</v>
      </c>
      <c r="G91" s="11">
        <v>8.22224444444445</v>
      </c>
      <c r="H91" s="11">
        <v>25.3313502020258</v>
      </c>
      <c r="I91" s="11">
        <v>8.13769166666667</v>
      </c>
      <c r="J91" s="15">
        <v>0.989716581847076</v>
      </c>
      <c r="K91" s="11">
        <v>-79.1447330497277</v>
      </c>
      <c r="L91" s="11">
        <v>13.3855190017109</v>
      </c>
      <c r="M91" s="15">
        <v>0.966908709453292</v>
      </c>
      <c r="N91" s="15">
        <v>0.970069343214855</v>
      </c>
      <c r="O91" s="15">
        <v>0.977038077145453</v>
      </c>
      <c r="P91" s="15">
        <v>0.980231821811073</v>
      </c>
      <c r="Q91" s="11">
        <v>35.2455126762301</v>
      </c>
      <c r="R91" s="11">
        <v>69.7688</v>
      </c>
      <c r="S91" s="15">
        <v>0.862143164538804</v>
      </c>
      <c r="T91" s="19">
        <v>232</v>
      </c>
      <c r="U91" s="19">
        <v>232</v>
      </c>
      <c r="V91" s="19">
        <v>0</v>
      </c>
      <c r="W91" s="15">
        <v>0</v>
      </c>
      <c r="X91" s="11">
        <v>21.8244728313131</v>
      </c>
      <c r="Y91" s="11">
        <v>29.2076</v>
      </c>
      <c r="Z91" s="15">
        <v>0.977200577200577</v>
      </c>
      <c r="AA91" s="19">
        <v>232</v>
      </c>
      <c r="AB91" s="19">
        <v>232</v>
      </c>
      <c r="AC91" s="19">
        <v>0</v>
      </c>
      <c r="AD91" s="15">
        <v>0</v>
      </c>
      <c r="AE91" s="11">
        <v>-80.2589191933709</v>
      </c>
      <c r="AF91" s="11">
        <v>13.0773977097093</v>
      </c>
      <c r="AG91" s="15">
        <v>0.948951133745604</v>
      </c>
      <c r="AH91" s="15">
        <v>0.953073845034558</v>
      </c>
      <c r="AI91" s="15">
        <v>0.976297405189621</v>
      </c>
      <c r="AJ91" s="15">
        <v>0.980538922155689</v>
      </c>
      <c r="AK91" s="11">
        <v>34.7649089113946</v>
      </c>
      <c r="AL91" s="11">
        <v>69.701788</v>
      </c>
      <c r="AM91" s="15">
        <v>0.862254025044723</v>
      </c>
      <c r="AN91" s="19">
        <v>232</v>
      </c>
      <c r="AO91" s="19">
        <v>232</v>
      </c>
      <c r="AP91" s="19">
        <v>0</v>
      </c>
      <c r="AQ91" s="15">
        <v>0</v>
      </c>
      <c r="AR91" s="11">
        <v>20.6566503247009</v>
      </c>
      <c r="AS91" s="11">
        <v>28.55107</v>
      </c>
      <c r="AT91" s="15">
        <v>0.986505351326198</v>
      </c>
      <c r="AU91" s="19">
        <v>232</v>
      </c>
      <c r="AV91" s="19">
        <v>232</v>
      </c>
      <c r="AW91" s="19">
        <v>0</v>
      </c>
      <c r="AX91" s="15">
        <v>0</v>
      </c>
    </row>
    <row r="92" spans="1:50">
      <c r="A92" s="3" t="s">
        <v>51</v>
      </c>
      <c r="B92" s="5" t="s">
        <v>55</v>
      </c>
      <c r="C92" s="5" t="s">
        <v>49</v>
      </c>
      <c r="D92" s="5" t="s">
        <v>64</v>
      </c>
      <c r="E92" s="5">
        <v>3</v>
      </c>
      <c r="F92" s="11">
        <v>208.311156636059</v>
      </c>
      <c r="G92" s="11">
        <v>8.22396666666667</v>
      </c>
      <c r="H92" s="11">
        <v>25.3297666538928</v>
      </c>
      <c r="I92" s="11">
        <v>8.13115555555556</v>
      </c>
      <c r="J92" s="15">
        <v>0.988714556506255</v>
      </c>
      <c r="K92" s="11">
        <v>-79.1099752658488</v>
      </c>
      <c r="L92" s="11">
        <v>13.5129757672111</v>
      </c>
      <c r="M92" s="15">
        <v>0.970847900314239</v>
      </c>
      <c r="N92" s="15">
        <v>0.973146875977745</v>
      </c>
      <c r="O92" s="15">
        <v>0.982049606109601</v>
      </c>
      <c r="P92" s="15">
        <v>0.984375107502838</v>
      </c>
      <c r="Q92" s="11">
        <v>38.1863325944854</v>
      </c>
      <c r="R92" s="11">
        <v>73.7989</v>
      </c>
      <c r="S92" s="15">
        <v>0.884509888840768</v>
      </c>
      <c r="T92" s="19">
        <v>232</v>
      </c>
      <c r="U92" s="19">
        <v>232</v>
      </c>
      <c r="V92" s="19">
        <v>0</v>
      </c>
      <c r="W92" s="15">
        <v>0</v>
      </c>
      <c r="X92" s="11">
        <v>21.4721437445161</v>
      </c>
      <c r="Y92" s="11">
        <v>29.1784</v>
      </c>
      <c r="Z92" s="15">
        <v>0.979784946236559</v>
      </c>
      <c r="AA92" s="19">
        <v>236</v>
      </c>
      <c r="AB92" s="19">
        <v>236</v>
      </c>
      <c r="AC92" s="19">
        <v>0</v>
      </c>
      <c r="AD92" s="15">
        <v>0</v>
      </c>
      <c r="AE92" s="11">
        <v>-80.0132865586894</v>
      </c>
      <c r="AF92" s="11">
        <v>13.156250379291</v>
      </c>
      <c r="AG92" s="15">
        <v>0.959411836189087</v>
      </c>
      <c r="AH92" s="15">
        <v>0.961599222262729</v>
      </c>
      <c r="AI92" s="15">
        <v>0.981354878806712</v>
      </c>
      <c r="AJ92" s="15">
        <v>0.983592293349907</v>
      </c>
      <c r="AK92" s="11">
        <v>37.2271399146926</v>
      </c>
      <c r="AL92" s="11">
        <v>72.6200657666667</v>
      </c>
      <c r="AM92" s="15">
        <v>0.894596988485385</v>
      </c>
      <c r="AN92" s="19">
        <v>232</v>
      </c>
      <c r="AO92" s="19">
        <v>232</v>
      </c>
      <c r="AP92" s="19">
        <v>0</v>
      </c>
      <c r="AQ92" s="15">
        <v>0</v>
      </c>
      <c r="AR92" s="11">
        <v>20.4876716576835</v>
      </c>
      <c r="AS92" s="11">
        <v>28.5231745</v>
      </c>
      <c r="AT92" s="15">
        <v>0.978713558537714</v>
      </c>
      <c r="AU92" s="19">
        <v>236</v>
      </c>
      <c r="AV92" s="19">
        <v>236</v>
      </c>
      <c r="AW92" s="19">
        <v>0</v>
      </c>
      <c r="AX92" s="15">
        <v>0</v>
      </c>
    </row>
    <row r="93" spans="1:50">
      <c r="A93" s="3" t="s">
        <v>44</v>
      </c>
      <c r="B93" s="3" t="s">
        <v>45</v>
      </c>
      <c r="C93" s="4" t="s">
        <v>46</v>
      </c>
      <c r="D93" s="5" t="s">
        <v>57</v>
      </c>
      <c r="E93" s="7">
        <v>1</v>
      </c>
      <c r="F93" s="10"/>
      <c r="G93" s="10">
        <v>0.302</v>
      </c>
      <c r="H93" s="10"/>
      <c r="I93" s="10">
        <v>0.302</v>
      </c>
      <c r="J93" s="14">
        <v>1</v>
      </c>
      <c r="K93" s="10">
        <v>-79.0057896869245</v>
      </c>
      <c r="L93" s="10">
        <v>11.9884920810313</v>
      </c>
      <c r="M93" s="14">
        <v>1</v>
      </c>
      <c r="N93" s="14">
        <v>1</v>
      </c>
      <c r="O93" s="14">
        <v>1</v>
      </c>
      <c r="P93" s="14">
        <v>1</v>
      </c>
      <c r="Q93" s="10">
        <v>30.513022875817</v>
      </c>
      <c r="R93" s="10">
        <v>38.963</v>
      </c>
      <c r="S93" s="14">
        <v>0.986928104575163</v>
      </c>
      <c r="T93" s="18">
        <v>10</v>
      </c>
      <c r="U93" s="18">
        <v>10</v>
      </c>
      <c r="V93" s="18">
        <v>0</v>
      </c>
      <c r="W93" s="14">
        <v>0</v>
      </c>
      <c r="X93" s="10">
        <v>26.0585166666667</v>
      </c>
      <c r="Y93" s="10">
        <v>29.038</v>
      </c>
      <c r="Z93" s="14">
        <v>0.996666666666667</v>
      </c>
      <c r="AA93" s="18">
        <v>10</v>
      </c>
      <c r="AB93" s="18">
        <v>10</v>
      </c>
      <c r="AC93" s="18">
        <v>0</v>
      </c>
      <c r="AD93" s="14">
        <v>0</v>
      </c>
      <c r="AE93" s="10"/>
      <c r="AF93" s="10"/>
      <c r="AG93" s="14"/>
      <c r="AH93" s="14"/>
      <c r="AI93" s="14"/>
      <c r="AJ93" s="14"/>
      <c r="AK93" s="10"/>
      <c r="AL93" s="10"/>
      <c r="AM93" s="14"/>
      <c r="AN93" s="18"/>
      <c r="AO93" s="18"/>
      <c r="AP93" s="18"/>
      <c r="AQ93" s="14"/>
      <c r="AR93" s="10"/>
      <c r="AS93" s="10"/>
      <c r="AT93" s="14"/>
      <c r="AU93" s="18"/>
      <c r="AV93" s="18"/>
      <c r="AW93" s="18"/>
      <c r="AX93" s="14"/>
    </row>
    <row r="94" spans="1:50">
      <c r="A94" s="3" t="s">
        <v>51</v>
      </c>
      <c r="B94" s="5" t="s">
        <v>63</v>
      </c>
      <c r="C94" s="6" t="s">
        <v>49</v>
      </c>
      <c r="D94" s="6" t="s">
        <v>61</v>
      </c>
      <c r="E94" s="5">
        <v>2</v>
      </c>
      <c r="F94" s="11">
        <v>2.23328234964609</v>
      </c>
      <c r="G94" s="11">
        <v>0.601272222222222</v>
      </c>
      <c r="H94" s="11">
        <v>3.71426163908284</v>
      </c>
      <c r="I94" s="11">
        <v>0.5988</v>
      </c>
      <c r="J94" s="15">
        <v>0.995888347855011</v>
      </c>
      <c r="K94" s="11">
        <v>-78.8906988284567</v>
      </c>
      <c r="L94" s="11">
        <v>11.0366457007262</v>
      </c>
      <c r="M94" s="15">
        <v>0.97288765088208</v>
      </c>
      <c r="N94" s="15">
        <v>0.976601671309192</v>
      </c>
      <c r="O94" s="15">
        <v>0.976787545446071</v>
      </c>
      <c r="P94" s="15">
        <v>0.980516453808148</v>
      </c>
      <c r="Q94" s="11">
        <v>24.9951694666667</v>
      </c>
      <c r="R94" s="11">
        <v>45.5634</v>
      </c>
      <c r="S94" s="15">
        <v>0.837254901960784</v>
      </c>
      <c r="T94" s="19">
        <v>17</v>
      </c>
      <c r="U94" s="19">
        <v>17</v>
      </c>
      <c r="V94" s="19">
        <v>0</v>
      </c>
      <c r="W94" s="15">
        <v>0</v>
      </c>
      <c r="X94" s="11">
        <v>8.48971274903475</v>
      </c>
      <c r="Y94" s="11">
        <v>12.2088</v>
      </c>
      <c r="Z94" s="15">
        <v>0.953667953667954</v>
      </c>
      <c r="AA94" s="19">
        <v>18</v>
      </c>
      <c r="AB94" s="19">
        <v>18</v>
      </c>
      <c r="AC94" s="19">
        <v>0</v>
      </c>
      <c r="AD94" s="15">
        <v>0</v>
      </c>
      <c r="AE94" s="11">
        <v>-79.9104476140911</v>
      </c>
      <c r="AF94" s="11">
        <v>10.8763865156159</v>
      </c>
      <c r="AG94" s="15">
        <v>0.972972972972973</v>
      </c>
      <c r="AH94" s="15">
        <v>0.981981981981982</v>
      </c>
      <c r="AI94" s="15">
        <v>0.990825688073395</v>
      </c>
      <c r="AJ94" s="15">
        <v>1</v>
      </c>
      <c r="AK94" s="11">
        <v>23.17825410999</v>
      </c>
      <c r="AL94" s="11">
        <v>41.71392</v>
      </c>
      <c r="AM94" s="15">
        <v>0.829268292682927</v>
      </c>
      <c r="AN94" s="19">
        <v>17</v>
      </c>
      <c r="AO94" s="19">
        <v>17</v>
      </c>
      <c r="AP94" s="19">
        <v>0</v>
      </c>
      <c r="AQ94" s="15">
        <v>0</v>
      </c>
      <c r="AR94" s="11">
        <v>8.55264787246457</v>
      </c>
      <c r="AS94" s="11">
        <v>12.165122375</v>
      </c>
      <c r="AT94" s="15">
        <v>0.975609756097561</v>
      </c>
      <c r="AU94" s="19">
        <v>18</v>
      </c>
      <c r="AV94" s="19">
        <v>18</v>
      </c>
      <c r="AW94" s="19">
        <v>0</v>
      </c>
      <c r="AX94" s="15">
        <v>0</v>
      </c>
    </row>
    <row r="95" spans="1:50">
      <c r="A95" s="3" t="s">
        <v>44</v>
      </c>
      <c r="B95" s="3" t="s">
        <v>45</v>
      </c>
      <c r="C95" s="4" t="s">
        <v>49</v>
      </c>
      <c r="D95" s="5" t="s">
        <v>50</v>
      </c>
      <c r="E95" s="7">
        <v>3</v>
      </c>
      <c r="F95" s="10">
        <v>0.938</v>
      </c>
      <c r="G95" s="10">
        <v>0.21</v>
      </c>
      <c r="H95" s="10">
        <v>4.46666666666667</v>
      </c>
      <c r="I95" s="10">
        <v>0.21</v>
      </c>
      <c r="J95" s="14">
        <v>1</v>
      </c>
      <c r="K95" s="10">
        <v>-78.8222739635158</v>
      </c>
      <c r="L95" s="10">
        <v>8.50335754560531</v>
      </c>
      <c r="M95" s="14">
        <v>0.844444444444444</v>
      </c>
      <c r="N95" s="14">
        <v>0.844444444444444</v>
      </c>
      <c r="O95" s="14">
        <v>0.844444444444444</v>
      </c>
      <c r="P95" s="14">
        <v>0.844444444444444</v>
      </c>
      <c r="Q95" s="10">
        <v>20.1014761904762</v>
      </c>
      <c r="R95" s="10">
        <v>37.054</v>
      </c>
      <c r="S95" s="14">
        <v>0.754578754578755</v>
      </c>
      <c r="T95" s="18">
        <v>9</v>
      </c>
      <c r="U95" s="18">
        <v>9</v>
      </c>
      <c r="V95" s="18">
        <v>0</v>
      </c>
      <c r="W95" s="14">
        <v>0</v>
      </c>
      <c r="X95" s="10">
        <v>12.5138222222222</v>
      </c>
      <c r="Y95" s="10">
        <v>17.859</v>
      </c>
      <c r="Z95" s="14">
        <v>0.955555555555556</v>
      </c>
      <c r="AA95" s="18">
        <v>9</v>
      </c>
      <c r="AB95" s="18">
        <v>9</v>
      </c>
      <c r="AC95" s="18">
        <v>0</v>
      </c>
      <c r="AD95" s="14">
        <v>0</v>
      </c>
      <c r="AE95" s="10">
        <v>-78.324</v>
      </c>
      <c r="AF95" s="10">
        <v>9.249359375</v>
      </c>
      <c r="AG95" s="14">
        <v>0.859375</v>
      </c>
      <c r="AH95" s="14">
        <v>0.859375</v>
      </c>
      <c r="AI95" s="14">
        <v>0.859375</v>
      </c>
      <c r="AJ95" s="14">
        <v>0.859375</v>
      </c>
      <c r="AK95" s="10">
        <v>20.3873571428571</v>
      </c>
      <c r="AL95" s="10">
        <v>38.021</v>
      </c>
      <c r="AM95" s="14">
        <v>0.785714285714286</v>
      </c>
      <c r="AN95" s="18">
        <v>9</v>
      </c>
      <c r="AO95" s="18">
        <v>9</v>
      </c>
      <c r="AP95" s="18">
        <v>0</v>
      </c>
      <c r="AQ95" s="14">
        <v>0</v>
      </c>
      <c r="AR95" s="10">
        <v>13.1104444444444</v>
      </c>
      <c r="AS95" s="10">
        <v>19.22</v>
      </c>
      <c r="AT95" s="14">
        <v>1</v>
      </c>
      <c r="AU95" s="18">
        <v>9</v>
      </c>
      <c r="AV95" s="18">
        <v>9</v>
      </c>
      <c r="AW95" s="18">
        <v>0</v>
      </c>
      <c r="AX95" s="14">
        <v>0</v>
      </c>
    </row>
    <row r="96" spans="1:50">
      <c r="A96" s="3" t="s">
        <v>51</v>
      </c>
      <c r="B96" s="4" t="s">
        <v>62</v>
      </c>
      <c r="C96" s="4" t="s">
        <v>49</v>
      </c>
      <c r="D96" s="4" t="s">
        <v>61</v>
      </c>
      <c r="E96" s="4">
        <v>3</v>
      </c>
      <c r="F96" s="11">
        <v>2.1691858626008</v>
      </c>
      <c r="G96" s="11">
        <v>0.505052777777778</v>
      </c>
      <c r="H96" s="11">
        <v>4.29496868059053</v>
      </c>
      <c r="I96" s="11">
        <v>0.505025</v>
      </c>
      <c r="J96" s="15">
        <v>0.999945000247499</v>
      </c>
      <c r="K96" s="11">
        <v>-78.7366114571732</v>
      </c>
      <c r="L96" s="11">
        <v>10.8207204833039</v>
      </c>
      <c r="M96" s="15">
        <v>0.988099173553719</v>
      </c>
      <c r="N96" s="15">
        <v>0.988099173553719</v>
      </c>
      <c r="O96" s="15">
        <v>0.988099173553719</v>
      </c>
      <c r="P96" s="15">
        <v>0.988099173553719</v>
      </c>
      <c r="Q96" s="11">
        <v>34.5783672619048</v>
      </c>
      <c r="R96" s="11">
        <v>72.9716</v>
      </c>
      <c r="S96" s="15">
        <v>0.769047619047619</v>
      </c>
      <c r="T96" s="19">
        <v>14</v>
      </c>
      <c r="U96" s="19">
        <v>14</v>
      </c>
      <c r="V96" s="19">
        <v>0</v>
      </c>
      <c r="W96" s="15">
        <v>0</v>
      </c>
      <c r="X96" s="11">
        <v>12.1968796022222</v>
      </c>
      <c r="Y96" s="11">
        <v>15.36</v>
      </c>
      <c r="Z96" s="15">
        <v>1</v>
      </c>
      <c r="AA96" s="19">
        <v>15</v>
      </c>
      <c r="AB96" s="19">
        <v>15</v>
      </c>
      <c r="AC96" s="19">
        <v>0</v>
      </c>
      <c r="AD96" s="15">
        <v>0</v>
      </c>
      <c r="AE96" s="11">
        <v>-78.8876920728486</v>
      </c>
      <c r="AF96" s="11">
        <v>10.7690713822644</v>
      </c>
      <c r="AG96" s="15">
        <v>1</v>
      </c>
      <c r="AH96" s="15">
        <v>1</v>
      </c>
      <c r="AI96" s="15">
        <v>1</v>
      </c>
      <c r="AJ96" s="15">
        <v>1</v>
      </c>
      <c r="AK96" s="11">
        <v>33.884854318296</v>
      </c>
      <c r="AL96" s="11">
        <v>72.7908360625</v>
      </c>
      <c r="AM96" s="15">
        <v>0.777777777777778</v>
      </c>
      <c r="AN96" s="19">
        <v>14</v>
      </c>
      <c r="AO96" s="19">
        <v>14</v>
      </c>
      <c r="AP96" s="19">
        <v>0</v>
      </c>
      <c r="AQ96" s="15">
        <v>0</v>
      </c>
      <c r="AR96" s="11">
        <v>12.1983885011588</v>
      </c>
      <c r="AS96" s="11">
        <v>14.5502091764706</v>
      </c>
      <c r="AT96" s="15">
        <v>1</v>
      </c>
      <c r="AU96" s="19">
        <v>15</v>
      </c>
      <c r="AV96" s="19">
        <v>15</v>
      </c>
      <c r="AW96" s="19">
        <v>0</v>
      </c>
      <c r="AX96" s="15">
        <v>0</v>
      </c>
    </row>
    <row r="97" spans="1:50">
      <c r="A97" s="3" t="s">
        <v>51</v>
      </c>
      <c r="B97" s="4" t="s">
        <v>62</v>
      </c>
      <c r="C97" s="4" t="s">
        <v>46</v>
      </c>
      <c r="D97" s="4" t="s">
        <v>57</v>
      </c>
      <c r="E97" s="5">
        <v>1</v>
      </c>
      <c r="F97" s="11" t="s">
        <v>54</v>
      </c>
      <c r="G97" s="11">
        <v>0.375194444444444</v>
      </c>
      <c r="H97" s="11" t="s">
        <v>54</v>
      </c>
      <c r="I97" s="11">
        <v>0.375163888888889</v>
      </c>
      <c r="J97" s="15">
        <v>0.99991856074628</v>
      </c>
      <c r="K97" s="11">
        <v>-78.7044234610007</v>
      </c>
      <c r="L97" s="11">
        <v>11.2094515683757</v>
      </c>
      <c r="M97" s="15">
        <v>1</v>
      </c>
      <c r="N97" s="15">
        <v>1</v>
      </c>
      <c r="O97" s="15">
        <v>1</v>
      </c>
      <c r="P97" s="15">
        <v>1</v>
      </c>
      <c r="Q97" s="11">
        <v>51.1053924180602</v>
      </c>
      <c r="R97" s="11">
        <v>69.8548</v>
      </c>
      <c r="S97" s="15">
        <v>1</v>
      </c>
      <c r="T97" s="19">
        <v>10</v>
      </c>
      <c r="U97" s="19">
        <v>10</v>
      </c>
      <c r="V97" s="19">
        <v>0</v>
      </c>
      <c r="W97" s="15">
        <v>0</v>
      </c>
      <c r="X97" s="11">
        <v>54.0381878074074</v>
      </c>
      <c r="Y97" s="11">
        <v>60.0605</v>
      </c>
      <c r="Z97" s="15">
        <v>1</v>
      </c>
      <c r="AA97" s="19">
        <v>10</v>
      </c>
      <c r="AB97" s="19">
        <v>9</v>
      </c>
      <c r="AC97" s="19">
        <v>1</v>
      </c>
      <c r="AD97" s="15">
        <v>0.111111111111111</v>
      </c>
      <c r="AE97" s="11"/>
      <c r="AF97" s="11"/>
      <c r="AG97" s="15"/>
      <c r="AH97" s="15"/>
      <c r="AI97" s="15"/>
      <c r="AJ97" s="15"/>
      <c r="AK97" s="11"/>
      <c r="AL97" s="11"/>
      <c r="AM97" s="15"/>
      <c r="AN97" s="19"/>
      <c r="AO97" s="19"/>
      <c r="AP97" s="19"/>
      <c r="AQ97" s="15"/>
      <c r="AR97" s="11"/>
      <c r="AS97" s="11"/>
      <c r="AT97" s="15"/>
      <c r="AU97" s="19"/>
      <c r="AV97" s="19"/>
      <c r="AW97" s="19"/>
      <c r="AX97" s="15"/>
    </row>
    <row r="98" spans="1:50">
      <c r="A98" s="3" t="s">
        <v>44</v>
      </c>
      <c r="B98" s="3" t="s">
        <v>45</v>
      </c>
      <c r="C98" s="4" t="s">
        <v>49</v>
      </c>
      <c r="D98" s="5" t="s">
        <v>50</v>
      </c>
      <c r="E98" s="7">
        <v>2</v>
      </c>
      <c r="F98" s="10">
        <v>0.938</v>
      </c>
      <c r="G98" s="10">
        <v>0.21</v>
      </c>
      <c r="H98" s="10">
        <v>4.46666666666667</v>
      </c>
      <c r="I98" s="10">
        <v>0.2056360446</v>
      </c>
      <c r="J98" s="14">
        <v>0.97921926</v>
      </c>
      <c r="K98" s="10">
        <v>-78.6474079470199</v>
      </c>
      <c r="L98" s="10">
        <v>8.68148940397351</v>
      </c>
      <c r="M98" s="14">
        <v>0.812520167796063</v>
      </c>
      <c r="N98" s="14">
        <v>0.812520167796063</v>
      </c>
      <c r="O98" s="14">
        <v>0.833774834437086</v>
      </c>
      <c r="P98" s="14">
        <v>0.833774834437086</v>
      </c>
      <c r="Q98" s="10">
        <v>20.8645272727273</v>
      </c>
      <c r="R98" s="10">
        <v>40.351</v>
      </c>
      <c r="S98" s="14">
        <v>0.698181818181818</v>
      </c>
      <c r="T98" s="18">
        <v>9</v>
      </c>
      <c r="U98" s="18">
        <v>9</v>
      </c>
      <c r="V98" s="18">
        <v>0</v>
      </c>
      <c r="W98" s="14">
        <v>0</v>
      </c>
      <c r="X98" s="10">
        <v>11.657446969697</v>
      </c>
      <c r="Y98" s="10">
        <v>19.094</v>
      </c>
      <c r="Z98" s="14">
        <v>0.928030303030303</v>
      </c>
      <c r="AA98" s="18">
        <v>9</v>
      </c>
      <c r="AB98" s="18">
        <v>9</v>
      </c>
      <c r="AC98" s="18">
        <v>0</v>
      </c>
      <c r="AD98" s="14">
        <v>0</v>
      </c>
      <c r="AE98" s="10">
        <v>-78.2569375</v>
      </c>
      <c r="AF98" s="10">
        <v>9.387875</v>
      </c>
      <c r="AG98" s="14">
        <v>0.818181818181818</v>
      </c>
      <c r="AH98" s="14">
        <v>0.818181818181818</v>
      </c>
      <c r="AI98" s="14">
        <v>0.84375</v>
      </c>
      <c r="AJ98" s="14">
        <v>0.84375</v>
      </c>
      <c r="AK98" s="10">
        <v>21.7711153846154</v>
      </c>
      <c r="AL98" s="10">
        <v>45.84</v>
      </c>
      <c r="AM98" s="14">
        <v>0.769230769230769</v>
      </c>
      <c r="AN98" s="18">
        <v>9</v>
      </c>
      <c r="AO98" s="18">
        <v>9</v>
      </c>
      <c r="AP98" s="18">
        <v>0</v>
      </c>
      <c r="AQ98" s="14">
        <v>0</v>
      </c>
      <c r="AR98" s="10">
        <v>11.4999655172414</v>
      </c>
      <c r="AS98" s="10">
        <v>18.821</v>
      </c>
      <c r="AT98" s="14">
        <v>0.96551724137931</v>
      </c>
      <c r="AU98" s="18">
        <v>9</v>
      </c>
      <c r="AV98" s="18">
        <v>9</v>
      </c>
      <c r="AW98" s="18">
        <v>0</v>
      </c>
      <c r="AX98" s="14">
        <v>0</v>
      </c>
    </row>
    <row r="99" spans="1:50">
      <c r="A99" s="3" t="s">
        <v>44</v>
      </c>
      <c r="B99" s="7" t="s">
        <v>60</v>
      </c>
      <c r="C99" s="4" t="s">
        <v>49</v>
      </c>
      <c r="D99" s="5" t="s">
        <v>50</v>
      </c>
      <c r="E99" s="7">
        <v>2</v>
      </c>
      <c r="F99" s="10">
        <v>2.844</v>
      </c>
      <c r="G99" s="10">
        <v>0.596</v>
      </c>
      <c r="H99" s="10">
        <v>4.77181208053691</v>
      </c>
      <c r="I99" s="10">
        <v>0.5732978832</v>
      </c>
      <c r="J99" s="14">
        <v>0.9619092</v>
      </c>
      <c r="K99" s="10">
        <v>-78.3090488117428</v>
      </c>
      <c r="L99" s="10">
        <v>6.51720864398882</v>
      </c>
      <c r="M99" s="14">
        <v>0.889173250250362</v>
      </c>
      <c r="N99" s="14">
        <v>0.889173250250362</v>
      </c>
      <c r="O99" s="14">
        <v>0.93091798695247</v>
      </c>
      <c r="P99" s="14">
        <v>0.93091798695247</v>
      </c>
      <c r="Q99" s="10">
        <v>32.5599046391753</v>
      </c>
      <c r="R99" s="10">
        <v>59.19</v>
      </c>
      <c r="S99" s="14">
        <v>0.853092783505155</v>
      </c>
      <c r="T99" s="18">
        <v>26</v>
      </c>
      <c r="U99" s="18">
        <v>26</v>
      </c>
      <c r="V99" s="18">
        <v>0</v>
      </c>
      <c r="W99" s="14">
        <v>0</v>
      </c>
      <c r="X99" s="10">
        <v>20.4684666666667</v>
      </c>
      <c r="Y99" s="10">
        <v>25.116</v>
      </c>
      <c r="Z99" s="14">
        <v>0.977304964539007</v>
      </c>
      <c r="AA99" s="18">
        <v>25</v>
      </c>
      <c r="AB99" s="18">
        <v>25</v>
      </c>
      <c r="AC99" s="18">
        <v>0</v>
      </c>
      <c r="AD99" s="14">
        <v>0</v>
      </c>
      <c r="AE99" s="10">
        <v>-78.3212541436464</v>
      </c>
      <c r="AF99" s="10">
        <v>6.17370718232044</v>
      </c>
      <c r="AG99" s="14">
        <v>0.88265306122449</v>
      </c>
      <c r="AH99" s="14">
        <v>0.88265306122449</v>
      </c>
      <c r="AI99" s="14">
        <v>0.955801104972376</v>
      </c>
      <c r="AJ99" s="14">
        <v>0.955801104972376</v>
      </c>
      <c r="AK99" s="10">
        <v>30.6961940298507</v>
      </c>
      <c r="AL99" s="10">
        <v>51.486</v>
      </c>
      <c r="AM99" s="14">
        <v>0.850746268656716</v>
      </c>
      <c r="AN99" s="18">
        <v>26</v>
      </c>
      <c r="AO99" s="18">
        <v>26</v>
      </c>
      <c r="AP99" s="18">
        <v>0</v>
      </c>
      <c r="AQ99" s="14">
        <v>0</v>
      </c>
      <c r="AR99" s="10">
        <v>20.5139552238806</v>
      </c>
      <c r="AS99" s="10">
        <v>26.944</v>
      </c>
      <c r="AT99" s="14">
        <v>1</v>
      </c>
      <c r="AU99" s="18">
        <v>25</v>
      </c>
      <c r="AV99" s="18">
        <v>25</v>
      </c>
      <c r="AW99" s="18">
        <v>0</v>
      </c>
      <c r="AX99" s="14">
        <v>0</v>
      </c>
    </row>
    <row r="100" spans="1:50">
      <c r="A100" s="3" t="s">
        <v>44</v>
      </c>
      <c r="B100" s="3" t="s">
        <v>59</v>
      </c>
      <c r="C100" s="4" t="s">
        <v>49</v>
      </c>
      <c r="D100" s="5" t="s">
        <v>50</v>
      </c>
      <c r="E100" s="7">
        <v>3</v>
      </c>
      <c r="F100" s="10">
        <v>2.721</v>
      </c>
      <c r="G100" s="10">
        <v>0.61</v>
      </c>
      <c r="H100" s="10">
        <v>4.46065573770492</v>
      </c>
      <c r="I100" s="10">
        <v>0.60696891</v>
      </c>
      <c r="J100" s="14">
        <v>0.995031</v>
      </c>
      <c r="K100" s="10">
        <v>-78.2718866644045</v>
      </c>
      <c r="L100" s="10">
        <v>13.8399237642801</v>
      </c>
      <c r="M100" s="14">
        <v>0.967963129496403</v>
      </c>
      <c r="N100" s="14">
        <v>0.967963129496403</v>
      </c>
      <c r="O100" s="14">
        <v>0.973984843343513</v>
      </c>
      <c r="P100" s="14">
        <v>0.973984843343513</v>
      </c>
      <c r="Q100" s="10">
        <v>29.5680841836735</v>
      </c>
      <c r="R100" s="10">
        <v>75.218</v>
      </c>
      <c r="S100" s="14">
        <v>0.735969387755102</v>
      </c>
      <c r="T100" s="18">
        <v>26</v>
      </c>
      <c r="U100" s="18">
        <v>26</v>
      </c>
      <c r="V100" s="18">
        <v>0</v>
      </c>
      <c r="W100" s="14">
        <v>0</v>
      </c>
      <c r="X100" s="10">
        <v>36.7170516795866</v>
      </c>
      <c r="Y100" s="10">
        <v>75.895</v>
      </c>
      <c r="Z100" s="14">
        <v>1</v>
      </c>
      <c r="AA100" s="18">
        <v>26</v>
      </c>
      <c r="AB100" s="18">
        <v>26</v>
      </c>
      <c r="AC100" s="18">
        <v>0</v>
      </c>
      <c r="AD100" s="14">
        <v>0</v>
      </c>
      <c r="AE100" s="10">
        <v>-78.6920882352941</v>
      </c>
      <c r="AF100" s="10">
        <v>13.2270705882353</v>
      </c>
      <c r="AG100" s="14">
        <v>0.976744186046511</v>
      </c>
      <c r="AH100" s="14">
        <v>0.976744186046511</v>
      </c>
      <c r="AI100" s="14">
        <v>0.988235294117647</v>
      </c>
      <c r="AJ100" s="14">
        <v>0.988235294117647</v>
      </c>
      <c r="AK100" s="10">
        <v>29.1585352112676</v>
      </c>
      <c r="AL100" s="10">
        <v>72.974</v>
      </c>
      <c r="AM100" s="14">
        <v>0.71830985915493</v>
      </c>
      <c r="AN100" s="18">
        <v>26</v>
      </c>
      <c r="AO100" s="18">
        <v>26</v>
      </c>
      <c r="AP100" s="18">
        <v>0</v>
      </c>
      <c r="AQ100" s="14">
        <v>0</v>
      </c>
      <c r="AR100" s="10">
        <v>36.2730151515151</v>
      </c>
      <c r="AS100" s="10">
        <v>75.137</v>
      </c>
      <c r="AT100" s="14">
        <v>1</v>
      </c>
      <c r="AU100" s="18">
        <v>26</v>
      </c>
      <c r="AV100" s="18">
        <v>26</v>
      </c>
      <c r="AW100" s="18">
        <v>0</v>
      </c>
      <c r="AX100" s="14">
        <v>0</v>
      </c>
    </row>
    <row r="101" spans="1:50">
      <c r="A101" s="3" t="s">
        <v>51</v>
      </c>
      <c r="B101" s="4" t="s">
        <v>58</v>
      </c>
      <c r="C101" s="6" t="s">
        <v>49</v>
      </c>
      <c r="D101" s="6" t="s">
        <v>61</v>
      </c>
      <c r="E101" s="4">
        <v>3</v>
      </c>
      <c r="F101" s="11">
        <v>2.05306912571192</v>
      </c>
      <c r="G101" s="11">
        <v>0.317277777777778</v>
      </c>
      <c r="H101" s="11">
        <v>6.470888506884</v>
      </c>
      <c r="I101" s="11">
        <v>0.315805555555556</v>
      </c>
      <c r="J101" s="15">
        <v>0.995359831903344</v>
      </c>
      <c r="K101" s="11">
        <v>-78.2556933085572</v>
      </c>
      <c r="L101" s="11">
        <v>10.2151943907026</v>
      </c>
      <c r="M101" s="15">
        <v>0.988588483146067</v>
      </c>
      <c r="N101" s="15">
        <v>0.98876404494382</v>
      </c>
      <c r="O101" s="15">
        <v>0.992771509167842</v>
      </c>
      <c r="P101" s="15">
        <v>0.992947813822285</v>
      </c>
      <c r="Q101" s="11">
        <v>34.3926215458333</v>
      </c>
      <c r="R101" s="11">
        <v>91.8756</v>
      </c>
      <c r="S101" s="15">
        <v>0.758333333333333</v>
      </c>
      <c r="T101" s="19">
        <v>8</v>
      </c>
      <c r="U101" s="19">
        <v>8</v>
      </c>
      <c r="V101" s="19">
        <v>0</v>
      </c>
      <c r="W101" s="15">
        <v>0</v>
      </c>
      <c r="X101" s="11">
        <v>13.4318028407407</v>
      </c>
      <c r="Y101" s="11">
        <v>22.49</v>
      </c>
      <c r="Z101" s="15">
        <v>0.922222222222222</v>
      </c>
      <c r="AA101" s="19">
        <v>9</v>
      </c>
      <c r="AB101" s="19">
        <v>9</v>
      </c>
      <c r="AC101" s="19">
        <v>0</v>
      </c>
      <c r="AD101" s="15">
        <v>0</v>
      </c>
      <c r="AE101" s="11">
        <v>-80.7689705932154</v>
      </c>
      <c r="AF101" s="11">
        <v>11.6156324283648</v>
      </c>
      <c r="AG101" s="15">
        <v>0.97</v>
      </c>
      <c r="AH101" s="15">
        <v>0.97</v>
      </c>
      <c r="AI101" s="15">
        <v>1</v>
      </c>
      <c r="AJ101" s="15">
        <v>1</v>
      </c>
      <c r="AK101" s="11">
        <v>23.0979310801754</v>
      </c>
      <c r="AL101" s="11">
        <v>46.0909605</v>
      </c>
      <c r="AM101" s="15">
        <v>0.75</v>
      </c>
      <c r="AN101" s="19">
        <v>8</v>
      </c>
      <c r="AO101" s="19">
        <v>8</v>
      </c>
      <c r="AP101" s="19">
        <v>0</v>
      </c>
      <c r="AQ101" s="15">
        <v>0</v>
      </c>
      <c r="AR101" s="11">
        <v>13.4438264278537</v>
      </c>
      <c r="AS101" s="11">
        <v>22.5556105</v>
      </c>
      <c r="AT101" s="15">
        <v>0.884615384615385</v>
      </c>
      <c r="AU101" s="19">
        <v>9</v>
      </c>
      <c r="AV101" s="19">
        <v>9</v>
      </c>
      <c r="AW101" s="19">
        <v>0</v>
      </c>
      <c r="AX101" s="15">
        <v>0</v>
      </c>
    </row>
    <row r="102" spans="1:50">
      <c r="A102" s="3" t="s">
        <v>44</v>
      </c>
      <c r="B102" s="3" t="s">
        <v>45</v>
      </c>
      <c r="C102" s="8" t="s">
        <v>49</v>
      </c>
      <c r="D102" s="5" t="s">
        <v>50</v>
      </c>
      <c r="E102" s="7">
        <v>2</v>
      </c>
      <c r="F102" s="10">
        <v>4.84</v>
      </c>
      <c r="G102" s="10">
        <v>1.009</v>
      </c>
      <c r="H102" s="10">
        <v>4.79682854311199</v>
      </c>
      <c r="I102" s="10">
        <v>0.99859330517</v>
      </c>
      <c r="J102" s="14">
        <v>0.98968613</v>
      </c>
      <c r="K102" s="10">
        <v>-78.1423300536673</v>
      </c>
      <c r="L102" s="10">
        <v>8.05068446401541</v>
      </c>
      <c r="M102" s="14">
        <v>0.926333673122664</v>
      </c>
      <c r="N102" s="14">
        <v>0.927353041114509</v>
      </c>
      <c r="O102" s="14">
        <v>0.937869822485207</v>
      </c>
      <c r="P102" s="14">
        <v>0.938901885234622</v>
      </c>
      <c r="Q102" s="10">
        <v>8.78503384615385</v>
      </c>
      <c r="R102" s="10">
        <v>21.31</v>
      </c>
      <c r="S102" s="14">
        <v>0.305384615384615</v>
      </c>
      <c r="T102" s="18">
        <v>43</v>
      </c>
      <c r="U102" s="18">
        <v>43</v>
      </c>
      <c r="V102" s="18">
        <v>0</v>
      </c>
      <c r="W102" s="14">
        <v>0</v>
      </c>
      <c r="X102" s="10">
        <v>5.61475823293173</v>
      </c>
      <c r="Y102" s="10">
        <v>9.145</v>
      </c>
      <c r="Z102" s="14">
        <v>0.90281124497992</v>
      </c>
      <c r="AA102" s="18">
        <v>42</v>
      </c>
      <c r="AB102" s="18">
        <v>42</v>
      </c>
      <c r="AC102" s="18">
        <v>0</v>
      </c>
      <c r="AD102" s="14">
        <v>0</v>
      </c>
      <c r="AE102" s="10">
        <v>-77.8537770700637</v>
      </c>
      <c r="AF102" s="10">
        <v>7.97670063694268</v>
      </c>
      <c r="AG102" s="14">
        <v>0.934375</v>
      </c>
      <c r="AH102" s="14">
        <v>0.934375</v>
      </c>
      <c r="AI102" s="14">
        <v>0.952229299363057</v>
      </c>
      <c r="AJ102" s="14">
        <v>0.952229299363057</v>
      </c>
      <c r="AK102" s="10">
        <v>9.47825</v>
      </c>
      <c r="AL102" s="10">
        <v>21.224</v>
      </c>
      <c r="AM102" s="14">
        <v>0.375</v>
      </c>
      <c r="AN102" s="18">
        <v>43</v>
      </c>
      <c r="AO102" s="18">
        <v>43</v>
      </c>
      <c r="AP102" s="18">
        <v>0</v>
      </c>
      <c r="AQ102" s="14">
        <v>0</v>
      </c>
      <c r="AR102" s="10">
        <v>5.59650806451613</v>
      </c>
      <c r="AS102" s="10">
        <v>8.93</v>
      </c>
      <c r="AT102" s="14">
        <v>0.943548387096774</v>
      </c>
      <c r="AU102" s="18">
        <v>42</v>
      </c>
      <c r="AV102" s="18">
        <v>42</v>
      </c>
      <c r="AW102" s="18">
        <v>0</v>
      </c>
      <c r="AX102" s="14">
        <v>0</v>
      </c>
    </row>
    <row r="103" spans="1:50">
      <c r="A103" s="3" t="s">
        <v>51</v>
      </c>
      <c r="B103" s="5" t="s">
        <v>55</v>
      </c>
      <c r="C103" s="5" t="s">
        <v>46</v>
      </c>
      <c r="D103" s="5" t="s">
        <v>53</v>
      </c>
      <c r="E103" s="5">
        <v>3</v>
      </c>
      <c r="F103" s="11" t="s">
        <v>54</v>
      </c>
      <c r="G103" s="11">
        <v>0.384788888888889</v>
      </c>
      <c r="H103" s="11" t="s">
        <v>54</v>
      </c>
      <c r="I103" s="11">
        <v>0.384761111111111</v>
      </c>
      <c r="J103" s="15">
        <v>0.999927810343334</v>
      </c>
      <c r="K103" s="11">
        <v>-78.1208533765681</v>
      </c>
      <c r="L103" s="11">
        <v>23.9210446433955</v>
      </c>
      <c r="M103" s="15">
        <v>1</v>
      </c>
      <c r="N103" s="15">
        <v>1</v>
      </c>
      <c r="O103" s="15">
        <v>1</v>
      </c>
      <c r="P103" s="15">
        <v>1</v>
      </c>
      <c r="Q103" s="11">
        <v>38.01424074</v>
      </c>
      <c r="R103" s="11">
        <v>49.0813</v>
      </c>
      <c r="S103" s="15">
        <v>0.996666666666667</v>
      </c>
      <c r="T103" s="19">
        <v>10</v>
      </c>
      <c r="U103" s="19">
        <v>10</v>
      </c>
      <c r="V103" s="19">
        <v>0</v>
      </c>
      <c r="W103" s="15">
        <v>0</v>
      </c>
      <c r="X103" s="11">
        <v>21.10800346</v>
      </c>
      <c r="Y103" s="11">
        <v>24.0964</v>
      </c>
      <c r="Z103" s="15">
        <v>1</v>
      </c>
      <c r="AA103" s="19">
        <v>10</v>
      </c>
      <c r="AB103" s="19">
        <v>10</v>
      </c>
      <c r="AC103" s="19">
        <v>0</v>
      </c>
      <c r="AD103" s="15">
        <v>0</v>
      </c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</row>
    <row r="104" spans="1:50">
      <c r="A104" s="3" t="s">
        <v>51</v>
      </c>
      <c r="B104" s="5" t="s">
        <v>63</v>
      </c>
      <c r="C104" s="5" t="s">
        <v>46</v>
      </c>
      <c r="D104" s="5" t="s">
        <v>53</v>
      </c>
      <c r="E104" s="5">
        <v>2</v>
      </c>
      <c r="F104" s="11" t="s">
        <v>54</v>
      </c>
      <c r="G104" s="11">
        <v>0.410947222222222</v>
      </c>
      <c r="H104" s="11" t="s">
        <v>54</v>
      </c>
      <c r="I104" s="11">
        <v>0.410922222222222</v>
      </c>
      <c r="J104" s="15">
        <v>0.999939164937374</v>
      </c>
      <c r="K104" s="11">
        <v>-78.0310262374414</v>
      </c>
      <c r="L104" s="11">
        <v>19.9514315369808</v>
      </c>
      <c r="M104" s="15">
        <v>1</v>
      </c>
      <c r="N104" s="15">
        <v>1</v>
      </c>
      <c r="O104" s="15">
        <v>1</v>
      </c>
      <c r="P104" s="15">
        <v>1</v>
      </c>
      <c r="Q104" s="11">
        <v>25.37085945</v>
      </c>
      <c r="R104" s="11">
        <v>32.8228</v>
      </c>
      <c r="S104" s="15">
        <v>1</v>
      </c>
      <c r="T104" s="19">
        <v>10</v>
      </c>
      <c r="U104" s="19">
        <v>10</v>
      </c>
      <c r="V104" s="19">
        <v>0</v>
      </c>
      <c r="W104" s="15">
        <v>0</v>
      </c>
      <c r="X104" s="11">
        <v>11.6576875066667</v>
      </c>
      <c r="Y104" s="11">
        <v>12.8</v>
      </c>
      <c r="Z104" s="15">
        <v>1</v>
      </c>
      <c r="AA104" s="19">
        <v>10</v>
      </c>
      <c r="AB104" s="19">
        <v>10</v>
      </c>
      <c r="AC104" s="19">
        <v>0</v>
      </c>
      <c r="AD104" s="15">
        <v>0</v>
      </c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</row>
    <row r="105" spans="1:50">
      <c r="A105" s="3" t="s">
        <v>51</v>
      </c>
      <c r="B105" s="5" t="s">
        <v>55</v>
      </c>
      <c r="C105" s="5" t="s">
        <v>46</v>
      </c>
      <c r="D105" s="5" t="s">
        <v>53</v>
      </c>
      <c r="E105" s="5">
        <v>2</v>
      </c>
      <c r="F105" s="11" t="s">
        <v>54</v>
      </c>
      <c r="G105" s="11">
        <v>0.377625</v>
      </c>
      <c r="H105" s="11" t="s">
        <v>54</v>
      </c>
      <c r="I105" s="11">
        <v>0.3776</v>
      </c>
      <c r="J105" s="15">
        <v>0.999933796756041</v>
      </c>
      <c r="K105" s="11">
        <v>-77.9531892108833</v>
      </c>
      <c r="L105" s="11">
        <v>6.26120694310783</v>
      </c>
      <c r="M105" s="15">
        <v>1</v>
      </c>
      <c r="N105" s="15">
        <v>1</v>
      </c>
      <c r="O105" s="15">
        <v>1</v>
      </c>
      <c r="P105" s="15">
        <v>1</v>
      </c>
      <c r="Q105" s="11">
        <v>23.3625451066667</v>
      </c>
      <c r="R105" s="11">
        <v>33.5395</v>
      </c>
      <c r="S105" s="15">
        <v>0.986666666666667</v>
      </c>
      <c r="T105" s="19">
        <v>10</v>
      </c>
      <c r="U105" s="19">
        <v>10</v>
      </c>
      <c r="V105" s="19">
        <v>0</v>
      </c>
      <c r="W105" s="15">
        <v>0</v>
      </c>
      <c r="X105" s="11">
        <v>27.2653685566667</v>
      </c>
      <c r="Y105" s="11">
        <v>29.12</v>
      </c>
      <c r="Z105" s="15">
        <v>1</v>
      </c>
      <c r="AA105" s="19">
        <v>10</v>
      </c>
      <c r="AB105" s="19">
        <v>10</v>
      </c>
      <c r="AC105" s="19">
        <v>0</v>
      </c>
      <c r="AD105" s="15">
        <v>0</v>
      </c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</row>
    <row r="106" spans="1:50">
      <c r="A106" s="3" t="s">
        <v>51</v>
      </c>
      <c r="B106" s="6" t="s">
        <v>55</v>
      </c>
      <c r="C106" s="6" t="s">
        <v>49</v>
      </c>
      <c r="D106" s="6" t="s">
        <v>50</v>
      </c>
      <c r="E106" s="6">
        <v>2</v>
      </c>
      <c r="F106" s="11">
        <v>5.16537125635147</v>
      </c>
      <c r="G106" s="11">
        <v>0.448030555555556</v>
      </c>
      <c r="H106" s="11">
        <v>11.5290602221235</v>
      </c>
      <c r="I106" s="11">
        <v>0.448019444444444</v>
      </c>
      <c r="J106" s="15">
        <v>0.999975200104159</v>
      </c>
      <c r="K106" s="11">
        <v>-77.8143981552889</v>
      </c>
      <c r="L106" s="11">
        <v>11.0253628697214</v>
      </c>
      <c r="M106" s="15">
        <v>0.980817452357071</v>
      </c>
      <c r="N106" s="15">
        <v>0.983324974924774</v>
      </c>
      <c r="O106" s="15">
        <v>0.980817452357071</v>
      </c>
      <c r="P106" s="15">
        <v>0.983324974924774</v>
      </c>
      <c r="Q106" s="11">
        <v>65.869971374359</v>
      </c>
      <c r="R106" s="11">
        <v>103.98</v>
      </c>
      <c r="S106" s="15">
        <v>0.994871794871795</v>
      </c>
      <c r="T106" s="19">
        <v>13</v>
      </c>
      <c r="U106" s="19">
        <v>13</v>
      </c>
      <c r="V106" s="19">
        <v>0</v>
      </c>
      <c r="W106" s="15">
        <v>0</v>
      </c>
      <c r="X106" s="11">
        <v>25.862349227154</v>
      </c>
      <c r="Y106" s="11">
        <v>30.8744</v>
      </c>
      <c r="Z106" s="15">
        <v>1</v>
      </c>
      <c r="AA106" s="19">
        <v>13</v>
      </c>
      <c r="AB106" s="19">
        <v>13</v>
      </c>
      <c r="AC106" s="19">
        <v>0</v>
      </c>
      <c r="AD106" s="15">
        <v>0</v>
      </c>
      <c r="AE106" s="11">
        <v>-78.4515585549817</v>
      </c>
      <c r="AF106" s="11">
        <v>11.0975612584776</v>
      </c>
      <c r="AG106" s="15">
        <v>0.991803278688525</v>
      </c>
      <c r="AH106" s="15">
        <v>0.991803278688525</v>
      </c>
      <c r="AI106" s="15">
        <v>0.991803278688525</v>
      </c>
      <c r="AJ106" s="15">
        <v>0.991803278688525</v>
      </c>
      <c r="AK106" s="11">
        <v>65.8152185551433</v>
      </c>
      <c r="AL106" s="11">
        <v>98.0389181428571</v>
      </c>
      <c r="AM106" s="15">
        <v>1</v>
      </c>
      <c r="AN106" s="19">
        <v>13</v>
      </c>
      <c r="AO106" s="19">
        <v>13</v>
      </c>
      <c r="AP106" s="19">
        <v>0</v>
      </c>
      <c r="AQ106" s="15">
        <v>0</v>
      </c>
      <c r="AR106" s="11">
        <v>25.9905591180145</v>
      </c>
      <c r="AS106" s="11">
        <v>30.3790458</v>
      </c>
      <c r="AT106" s="15">
        <v>1</v>
      </c>
      <c r="AU106" s="19">
        <v>13</v>
      </c>
      <c r="AV106" s="19">
        <v>13</v>
      </c>
      <c r="AW106" s="19">
        <v>0</v>
      </c>
      <c r="AX106" s="15">
        <v>0</v>
      </c>
    </row>
    <row r="107" spans="1:50">
      <c r="A107" s="3" t="s">
        <v>51</v>
      </c>
      <c r="B107" s="6" t="s">
        <v>55</v>
      </c>
      <c r="C107" s="6" t="s">
        <v>49</v>
      </c>
      <c r="D107" s="6" t="s">
        <v>50</v>
      </c>
      <c r="E107" s="6">
        <v>1</v>
      </c>
      <c r="F107" s="11">
        <v>5.16537125635147</v>
      </c>
      <c r="G107" s="11">
        <v>0.448405555555556</v>
      </c>
      <c r="H107" s="11">
        <v>11.5194185093264</v>
      </c>
      <c r="I107" s="11">
        <v>0.425161111111111</v>
      </c>
      <c r="J107" s="15">
        <v>0.948162006120451</v>
      </c>
      <c r="K107" s="11">
        <v>-77.8071429134665</v>
      </c>
      <c r="L107" s="11">
        <v>6.2744193548157</v>
      </c>
      <c r="M107" s="15">
        <v>0.809002735637901</v>
      </c>
      <c r="N107" s="15">
        <v>0.809002735637901</v>
      </c>
      <c r="O107" s="15">
        <v>0.852463312368973</v>
      </c>
      <c r="P107" s="15">
        <v>0.852463312368973</v>
      </c>
      <c r="Q107" s="11">
        <v>30.9203571923077</v>
      </c>
      <c r="R107" s="11">
        <v>70.5321</v>
      </c>
      <c r="S107" s="15">
        <v>0.715384615384615</v>
      </c>
      <c r="T107" s="19">
        <v>13</v>
      </c>
      <c r="U107" s="19">
        <v>13</v>
      </c>
      <c r="V107" s="19">
        <v>0</v>
      </c>
      <c r="W107" s="15">
        <v>0</v>
      </c>
      <c r="X107" s="11">
        <v>41.0781959589744</v>
      </c>
      <c r="Y107" s="11">
        <v>75.5779</v>
      </c>
      <c r="Z107" s="15">
        <v>0.971794871794872</v>
      </c>
      <c r="AA107" s="19">
        <v>13</v>
      </c>
      <c r="AB107" s="19">
        <v>13</v>
      </c>
      <c r="AC107" s="19">
        <v>0</v>
      </c>
      <c r="AD107" s="15">
        <v>0</v>
      </c>
      <c r="AE107" s="11">
        <v>-78.223345875703</v>
      </c>
      <c r="AF107" s="11">
        <v>5.96176807400794</v>
      </c>
      <c r="AG107" s="15">
        <v>0.776061776061776</v>
      </c>
      <c r="AH107" s="15">
        <v>0.776061776061776</v>
      </c>
      <c r="AI107" s="15">
        <v>0.85531914893617</v>
      </c>
      <c r="AJ107" s="15">
        <v>0.85531914893617</v>
      </c>
      <c r="AK107" s="11">
        <v>27.9087518216372</v>
      </c>
      <c r="AL107" s="11">
        <v>60.5089405</v>
      </c>
      <c r="AM107" s="15">
        <v>0.671232876712329</v>
      </c>
      <c r="AN107" s="19">
        <v>13</v>
      </c>
      <c r="AO107" s="19">
        <v>13</v>
      </c>
      <c r="AP107" s="19">
        <v>0</v>
      </c>
      <c r="AQ107" s="15">
        <v>0</v>
      </c>
      <c r="AR107" s="11">
        <v>45.161314339686</v>
      </c>
      <c r="AS107" s="11">
        <v>77.4380188571429</v>
      </c>
      <c r="AT107" s="15">
        <v>1</v>
      </c>
      <c r="AU107" s="19">
        <v>13</v>
      </c>
      <c r="AV107" s="19">
        <v>13</v>
      </c>
      <c r="AW107" s="19">
        <v>0</v>
      </c>
      <c r="AX107" s="15">
        <v>0</v>
      </c>
    </row>
    <row r="108" spans="1:50">
      <c r="A108" s="3" t="s">
        <v>51</v>
      </c>
      <c r="B108" s="6" t="s">
        <v>52</v>
      </c>
      <c r="C108" s="4" t="s">
        <v>49</v>
      </c>
      <c r="D108" s="4" t="s">
        <v>64</v>
      </c>
      <c r="E108" s="4">
        <v>2</v>
      </c>
      <c r="F108" s="11">
        <v>204.604735644877</v>
      </c>
      <c r="G108" s="11">
        <v>9.33325555555556</v>
      </c>
      <c r="H108" s="11">
        <v>21.9221186462732</v>
      </c>
      <c r="I108" s="11">
        <v>9.31545027777778</v>
      </c>
      <c r="J108" s="15">
        <v>0.998092275768965</v>
      </c>
      <c r="K108" s="11">
        <v>-77.7246478244055</v>
      </c>
      <c r="L108" s="11">
        <v>9.10595375701915</v>
      </c>
      <c r="M108" s="15">
        <v>0.934221242753797</v>
      </c>
      <c r="N108" s="15">
        <v>0.935005749053802</v>
      </c>
      <c r="O108" s="15">
        <v>0.936318348238401</v>
      </c>
      <c r="P108" s="15">
        <v>0.937104615569294</v>
      </c>
      <c r="Q108" s="11">
        <v>38.6355783083188</v>
      </c>
      <c r="R108" s="11">
        <v>80.5229</v>
      </c>
      <c r="S108" s="15">
        <v>0.843949970913322</v>
      </c>
      <c r="T108" s="19">
        <v>233</v>
      </c>
      <c r="U108" s="19">
        <v>230</v>
      </c>
      <c r="V108" s="19">
        <v>3</v>
      </c>
      <c r="W108" s="15">
        <v>0.0130434782608696</v>
      </c>
      <c r="X108" s="11">
        <v>27.4187833519717</v>
      </c>
      <c r="Y108" s="11">
        <v>65.4618</v>
      </c>
      <c r="Z108" s="15">
        <v>0.98204826368452</v>
      </c>
      <c r="AA108" s="19">
        <v>233</v>
      </c>
      <c r="AB108" s="19">
        <v>232</v>
      </c>
      <c r="AC108" s="19">
        <v>0</v>
      </c>
      <c r="AD108" s="15">
        <v>0</v>
      </c>
      <c r="AE108" s="11">
        <v>-77.942525900592</v>
      </c>
      <c r="AF108" s="11">
        <v>8.86219733732633</v>
      </c>
      <c r="AG108" s="15">
        <v>0.926440211154464</v>
      </c>
      <c r="AH108" s="15">
        <v>0.927128758319945</v>
      </c>
      <c r="AI108" s="15">
        <v>0.932432432432432</v>
      </c>
      <c r="AJ108" s="15">
        <v>0.933125433125433</v>
      </c>
      <c r="AK108" s="11">
        <v>37.9058777314554</v>
      </c>
      <c r="AL108" s="11">
        <v>78.020198</v>
      </c>
      <c r="AM108" s="15">
        <v>0.852501289324394</v>
      </c>
      <c r="AN108" s="19">
        <v>233</v>
      </c>
      <c r="AO108" s="19">
        <v>230</v>
      </c>
      <c r="AP108" s="19">
        <v>3</v>
      </c>
      <c r="AQ108" s="15">
        <v>0.0130434782608696</v>
      </c>
      <c r="AR108" s="11">
        <v>27.2845973405309</v>
      </c>
      <c r="AS108" s="11">
        <v>64.064064</v>
      </c>
      <c r="AT108" s="15">
        <v>0.981818181818182</v>
      </c>
      <c r="AU108" s="19">
        <v>233</v>
      </c>
      <c r="AV108" s="19">
        <v>232</v>
      </c>
      <c r="AW108" s="19">
        <v>0</v>
      </c>
      <c r="AX108" s="15">
        <v>0</v>
      </c>
    </row>
    <row r="109" spans="1:50">
      <c r="A109" s="3" t="s">
        <v>44</v>
      </c>
      <c r="B109" s="3" t="s">
        <v>59</v>
      </c>
      <c r="C109" s="4" t="s">
        <v>46</v>
      </c>
      <c r="D109" s="5" t="s">
        <v>53</v>
      </c>
      <c r="E109" s="7">
        <v>2</v>
      </c>
      <c r="F109" s="10"/>
      <c r="G109" s="10">
        <v>0.24</v>
      </c>
      <c r="H109" s="10"/>
      <c r="I109" s="10">
        <v>0.235562976</v>
      </c>
      <c r="J109" s="14">
        <v>0.9815124</v>
      </c>
      <c r="K109" s="10">
        <v>-77.7148125173082</v>
      </c>
      <c r="L109" s="10">
        <v>11.8095760177236</v>
      </c>
      <c r="M109" s="14">
        <v>0.950690869683013</v>
      </c>
      <c r="N109" s="14">
        <v>0.950690869683013</v>
      </c>
      <c r="O109" s="14">
        <v>0.971752977014677</v>
      </c>
      <c r="P109" s="14">
        <v>0.971752977014677</v>
      </c>
      <c r="Q109" s="10">
        <v>46.3745506756757</v>
      </c>
      <c r="R109" s="10">
        <v>58.47</v>
      </c>
      <c r="S109" s="14">
        <v>0.976351351351351</v>
      </c>
      <c r="T109" s="18">
        <v>10</v>
      </c>
      <c r="U109" s="18">
        <v>10</v>
      </c>
      <c r="V109" s="18">
        <v>0</v>
      </c>
      <c r="W109" s="14">
        <v>0</v>
      </c>
      <c r="X109" s="10">
        <v>67.0593333333333</v>
      </c>
      <c r="Y109" s="10">
        <v>85.747</v>
      </c>
      <c r="Z109" s="14">
        <v>0.996598639455782</v>
      </c>
      <c r="AA109" s="18">
        <v>10</v>
      </c>
      <c r="AB109" s="18">
        <v>10</v>
      </c>
      <c r="AC109" s="18">
        <v>0</v>
      </c>
      <c r="AD109" s="14">
        <v>0</v>
      </c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</row>
    <row r="110" spans="1:50">
      <c r="A110" s="3" t="s">
        <v>44</v>
      </c>
      <c r="B110" s="3" t="s">
        <v>59</v>
      </c>
      <c r="C110" s="4" t="s">
        <v>49</v>
      </c>
      <c r="D110" s="5" t="s">
        <v>50</v>
      </c>
      <c r="E110" s="7">
        <v>2</v>
      </c>
      <c r="F110" s="10">
        <v>2.714</v>
      </c>
      <c r="G110" s="10">
        <v>0.696</v>
      </c>
      <c r="H110" s="10">
        <v>3.89942528735632</v>
      </c>
      <c r="I110" s="10">
        <v>0.6401771112</v>
      </c>
      <c r="J110" s="14">
        <v>0.9197947</v>
      </c>
      <c r="K110" s="10">
        <v>-77.6997659145463</v>
      </c>
      <c r="L110" s="10">
        <v>4.67172088334133</v>
      </c>
      <c r="M110" s="14">
        <v>0.832000702925929</v>
      </c>
      <c r="N110" s="14">
        <v>0.832000702925929</v>
      </c>
      <c r="O110" s="14">
        <v>0.909169467114738</v>
      </c>
      <c r="P110" s="14">
        <v>0.909169467114738</v>
      </c>
      <c r="Q110" s="10">
        <v>45.4882653562654</v>
      </c>
      <c r="R110" s="10">
        <v>87.298</v>
      </c>
      <c r="S110" s="14">
        <v>0.847665847665848</v>
      </c>
      <c r="T110" s="18">
        <v>29</v>
      </c>
      <c r="U110" s="18">
        <v>29</v>
      </c>
      <c r="V110" s="18">
        <v>0</v>
      </c>
      <c r="W110" s="14">
        <v>0</v>
      </c>
      <c r="X110" s="10">
        <v>51.3629280397022</v>
      </c>
      <c r="Y110" s="10">
        <v>85.538</v>
      </c>
      <c r="Z110" s="14">
        <v>0.97394540942928</v>
      </c>
      <c r="AA110" s="18">
        <v>29</v>
      </c>
      <c r="AB110" s="18">
        <v>29</v>
      </c>
      <c r="AC110" s="18">
        <v>0</v>
      </c>
      <c r="AD110" s="14">
        <v>0</v>
      </c>
      <c r="AE110" s="10">
        <v>-78.3604124293785</v>
      </c>
      <c r="AF110" s="10">
        <v>4.69821468926554</v>
      </c>
      <c r="AG110" s="14">
        <v>0.831683168316832</v>
      </c>
      <c r="AH110" s="14">
        <v>0.831683168316832</v>
      </c>
      <c r="AI110" s="14">
        <v>0.949152542372881</v>
      </c>
      <c r="AJ110" s="14">
        <v>0.949152542372881</v>
      </c>
      <c r="AK110" s="10">
        <v>44.7037910447761</v>
      </c>
      <c r="AL110" s="10">
        <v>84.703</v>
      </c>
      <c r="AM110" s="14">
        <v>0.865671641791045</v>
      </c>
      <c r="AN110" s="18">
        <v>29</v>
      </c>
      <c r="AO110" s="18">
        <v>29</v>
      </c>
      <c r="AP110" s="18">
        <v>0</v>
      </c>
      <c r="AQ110" s="14">
        <v>0</v>
      </c>
      <c r="AR110" s="10">
        <v>52.9797083333333</v>
      </c>
      <c r="AS110" s="10">
        <v>83.311</v>
      </c>
      <c r="AT110" s="14">
        <v>0.986111111111111</v>
      </c>
      <c r="AU110" s="18">
        <v>29</v>
      </c>
      <c r="AV110" s="18">
        <v>29</v>
      </c>
      <c r="AW110" s="18">
        <v>0</v>
      </c>
      <c r="AX110" s="14">
        <v>0</v>
      </c>
    </row>
    <row r="111" spans="1:50">
      <c r="A111" s="3" t="s">
        <v>51</v>
      </c>
      <c r="B111" s="6" t="s">
        <v>52</v>
      </c>
      <c r="C111" s="6" t="s">
        <v>49</v>
      </c>
      <c r="D111" s="6" t="s">
        <v>50</v>
      </c>
      <c r="E111" s="4">
        <v>2</v>
      </c>
      <c r="F111" s="11">
        <v>5.61482901751995</v>
      </c>
      <c r="G111" s="11">
        <v>0.418888888888889</v>
      </c>
      <c r="H111" s="11">
        <v>13.4041011028328</v>
      </c>
      <c r="I111" s="11">
        <v>0.418805555555556</v>
      </c>
      <c r="J111" s="15">
        <v>0.999801061007958</v>
      </c>
      <c r="K111" s="11">
        <v>-77.6805674592426</v>
      </c>
      <c r="L111" s="11">
        <v>10.0699529223311</v>
      </c>
      <c r="M111" s="15">
        <v>0.97136769210281</v>
      </c>
      <c r="N111" s="15">
        <v>0.97136769210281</v>
      </c>
      <c r="O111" s="15">
        <v>0.97162648195018</v>
      </c>
      <c r="P111" s="15">
        <v>0.97162648195018</v>
      </c>
      <c r="Q111" s="11">
        <v>64.0535890066667</v>
      </c>
      <c r="R111" s="11">
        <v>123.26</v>
      </c>
      <c r="S111" s="15">
        <v>0.996666666666667</v>
      </c>
      <c r="T111" s="19">
        <v>11</v>
      </c>
      <c r="U111" s="19">
        <v>10</v>
      </c>
      <c r="V111" s="19">
        <v>0</v>
      </c>
      <c r="W111" s="15">
        <v>0</v>
      </c>
      <c r="X111" s="11">
        <v>42.440312527881</v>
      </c>
      <c r="Y111" s="11">
        <v>88.0881</v>
      </c>
      <c r="Z111" s="15">
        <v>0.966542750929368</v>
      </c>
      <c r="AA111" s="19">
        <v>10</v>
      </c>
      <c r="AB111" s="19">
        <v>10</v>
      </c>
      <c r="AC111" s="19">
        <v>0</v>
      </c>
      <c r="AD111" s="15">
        <v>0</v>
      </c>
      <c r="AE111" s="11">
        <v>-79.3138662698285</v>
      </c>
      <c r="AF111" s="11">
        <v>9.53148302369809</v>
      </c>
      <c r="AG111" s="15">
        <v>0.988805970149254</v>
      </c>
      <c r="AH111" s="15">
        <v>0.988805970149254</v>
      </c>
      <c r="AI111" s="15">
        <v>0.99250936329588</v>
      </c>
      <c r="AJ111" s="15">
        <v>0.99250936329588</v>
      </c>
      <c r="AK111" s="11">
        <v>59.8218119869946</v>
      </c>
      <c r="AL111" s="11">
        <v>116.474874285714</v>
      </c>
      <c r="AM111" s="15">
        <v>1</v>
      </c>
      <c r="AN111" s="19">
        <v>11</v>
      </c>
      <c r="AO111" s="19">
        <v>10</v>
      </c>
      <c r="AP111" s="19">
        <v>0</v>
      </c>
      <c r="AQ111" s="15">
        <v>0</v>
      </c>
      <c r="AR111" s="11">
        <v>41.5235567996439</v>
      </c>
      <c r="AS111" s="11">
        <v>85.1463543333333</v>
      </c>
      <c r="AT111" s="15">
        <v>1</v>
      </c>
      <c r="AU111" s="19">
        <v>10</v>
      </c>
      <c r="AV111" s="19">
        <v>10</v>
      </c>
      <c r="AW111" s="19">
        <v>0</v>
      </c>
      <c r="AX111" s="15">
        <v>0</v>
      </c>
    </row>
    <row r="112" spans="1:50">
      <c r="A112" s="3" t="s">
        <v>44</v>
      </c>
      <c r="B112" s="7" t="s">
        <v>60</v>
      </c>
      <c r="C112" s="4" t="s">
        <v>46</v>
      </c>
      <c r="D112" s="5" t="s">
        <v>53</v>
      </c>
      <c r="E112" s="7">
        <v>3</v>
      </c>
      <c r="F112" s="10"/>
      <c r="G112" s="10">
        <v>0.24</v>
      </c>
      <c r="H112" s="10"/>
      <c r="I112" s="10">
        <v>0.24</v>
      </c>
      <c r="J112" s="14">
        <v>1</v>
      </c>
      <c r="K112" s="10">
        <v>-77.6785637895961</v>
      </c>
      <c r="L112" s="10">
        <v>17.8831531531532</v>
      </c>
      <c r="M112" s="14">
        <v>1</v>
      </c>
      <c r="N112" s="14">
        <v>1</v>
      </c>
      <c r="O112" s="14">
        <v>1</v>
      </c>
      <c r="P112" s="14">
        <v>1</v>
      </c>
      <c r="Q112" s="10">
        <v>30.9925588235294</v>
      </c>
      <c r="R112" s="10">
        <v>61.606</v>
      </c>
      <c r="S112" s="14">
        <v>0.983660130718954</v>
      </c>
      <c r="T112" s="18">
        <v>10</v>
      </c>
      <c r="U112" s="18">
        <v>10</v>
      </c>
      <c r="V112" s="18">
        <v>0</v>
      </c>
      <c r="W112" s="14">
        <v>0</v>
      </c>
      <c r="X112" s="10">
        <v>17.69852</v>
      </c>
      <c r="Y112" s="10">
        <v>21.708</v>
      </c>
      <c r="Z112" s="14">
        <v>0.993333333333333</v>
      </c>
      <c r="AA112" s="18">
        <v>10</v>
      </c>
      <c r="AB112" s="18">
        <v>10</v>
      </c>
      <c r="AC112" s="18">
        <v>0</v>
      </c>
      <c r="AD112" s="14">
        <v>0</v>
      </c>
      <c r="AE112" s="10"/>
      <c r="AF112" s="10"/>
      <c r="AG112" s="14"/>
      <c r="AH112" s="14"/>
      <c r="AI112" s="14"/>
      <c r="AJ112" s="14"/>
      <c r="AK112" s="10"/>
      <c r="AL112" s="10"/>
      <c r="AM112" s="14"/>
      <c r="AN112" s="18"/>
      <c r="AO112" s="18"/>
      <c r="AP112" s="18"/>
      <c r="AQ112" s="14"/>
      <c r="AR112" s="10"/>
      <c r="AS112" s="10"/>
      <c r="AT112" s="14"/>
      <c r="AU112" s="18"/>
      <c r="AV112" s="18"/>
      <c r="AW112" s="18"/>
      <c r="AX112" s="14"/>
    </row>
    <row r="113" spans="1:50">
      <c r="A113" s="3" t="s">
        <v>51</v>
      </c>
      <c r="B113" s="5" t="s">
        <v>63</v>
      </c>
      <c r="C113" s="6" t="s">
        <v>49</v>
      </c>
      <c r="D113" s="6" t="s">
        <v>61</v>
      </c>
      <c r="E113" s="5">
        <v>1</v>
      </c>
      <c r="F113" s="11">
        <v>2.03014532768726</v>
      </c>
      <c r="G113" s="11">
        <v>0.498083333333333</v>
      </c>
      <c r="H113" s="11">
        <v>4.07591499619327</v>
      </c>
      <c r="I113" s="11">
        <v>0.498058333333333</v>
      </c>
      <c r="J113" s="15">
        <v>0.999949807595784</v>
      </c>
      <c r="K113" s="11">
        <v>-77.5630439551064</v>
      </c>
      <c r="L113" s="11">
        <v>11.2264003930695</v>
      </c>
      <c r="M113" s="15">
        <v>0.987368656382741</v>
      </c>
      <c r="N113" s="15">
        <v>0.987368656382741</v>
      </c>
      <c r="O113" s="15">
        <v>0.987368656382741</v>
      </c>
      <c r="P113" s="15">
        <v>0.987368656382741</v>
      </c>
      <c r="Q113" s="11">
        <v>97.441829451074</v>
      </c>
      <c r="R113" s="11">
        <v>137.079</v>
      </c>
      <c r="S113" s="15">
        <v>1</v>
      </c>
      <c r="T113" s="19">
        <v>14</v>
      </c>
      <c r="U113" s="19">
        <v>14</v>
      </c>
      <c r="V113" s="19">
        <v>0</v>
      </c>
      <c r="W113" s="15">
        <v>0</v>
      </c>
      <c r="X113" s="11">
        <v>22.0404711095238</v>
      </c>
      <c r="Y113" s="11">
        <v>37.6096</v>
      </c>
      <c r="Z113" s="15">
        <v>1</v>
      </c>
      <c r="AA113" s="19">
        <v>14</v>
      </c>
      <c r="AB113" s="19">
        <v>14</v>
      </c>
      <c r="AC113" s="19">
        <v>0</v>
      </c>
      <c r="AD113" s="15">
        <v>0</v>
      </c>
      <c r="AE113" s="11">
        <v>-76.8631071109851</v>
      </c>
      <c r="AF113" s="11">
        <v>11.4116480578664</v>
      </c>
      <c r="AG113" s="15">
        <v>1</v>
      </c>
      <c r="AH113" s="15">
        <v>1</v>
      </c>
      <c r="AI113" s="15">
        <v>1</v>
      </c>
      <c r="AJ113" s="15">
        <v>1</v>
      </c>
      <c r="AK113" s="11">
        <v>94.4900143327776</v>
      </c>
      <c r="AL113" s="11">
        <v>120.833712666667</v>
      </c>
      <c r="AM113" s="15">
        <v>1</v>
      </c>
      <c r="AN113" s="19">
        <v>14</v>
      </c>
      <c r="AO113" s="19">
        <v>14</v>
      </c>
      <c r="AP113" s="19">
        <v>0</v>
      </c>
      <c r="AQ113" s="15">
        <v>0</v>
      </c>
      <c r="AR113" s="11">
        <v>22.1839728970377</v>
      </c>
      <c r="AS113" s="11">
        <v>42.1570759411765</v>
      </c>
      <c r="AT113" s="15">
        <v>1</v>
      </c>
      <c r="AU113" s="19">
        <v>14</v>
      </c>
      <c r="AV113" s="19">
        <v>14</v>
      </c>
      <c r="AW113" s="19">
        <v>0</v>
      </c>
      <c r="AX113" s="15">
        <v>0</v>
      </c>
    </row>
    <row r="114" spans="1:50">
      <c r="A114" s="3" t="s">
        <v>44</v>
      </c>
      <c r="B114" s="3" t="s">
        <v>48</v>
      </c>
      <c r="C114" s="4" t="s">
        <v>49</v>
      </c>
      <c r="D114" s="5" t="s">
        <v>50</v>
      </c>
      <c r="E114" s="7">
        <v>1</v>
      </c>
      <c r="F114" s="10">
        <v>2.793</v>
      </c>
      <c r="G114" s="10">
        <v>0.681</v>
      </c>
      <c r="H114" s="10">
        <v>4.10132158590308</v>
      </c>
      <c r="I114" s="10">
        <v>0.681</v>
      </c>
      <c r="J114" s="14">
        <v>1</v>
      </c>
      <c r="K114" s="10">
        <v>-77.520437831565</v>
      </c>
      <c r="L114" s="10">
        <v>13.5338209549072</v>
      </c>
      <c r="M114" s="14">
        <v>0.972977453580902</v>
      </c>
      <c r="N114" s="14">
        <v>0.983173076923077</v>
      </c>
      <c r="O114" s="14">
        <v>0.972977453580902</v>
      </c>
      <c r="P114" s="14">
        <v>0.983173076923077</v>
      </c>
      <c r="Q114" s="10">
        <v>61.7899388448471</v>
      </c>
      <c r="R114" s="10">
        <v>98.959</v>
      </c>
      <c r="S114" s="14">
        <v>0.971687429218573</v>
      </c>
      <c r="T114" s="18">
        <v>29</v>
      </c>
      <c r="U114" s="18">
        <v>29</v>
      </c>
      <c r="V114" s="18">
        <v>0</v>
      </c>
      <c r="W114" s="14">
        <v>0</v>
      </c>
      <c r="X114" s="10">
        <v>30.0062393555811</v>
      </c>
      <c r="Y114" s="10">
        <v>64.531</v>
      </c>
      <c r="Z114" s="14">
        <v>0.973532796317606</v>
      </c>
      <c r="AA114" s="18">
        <v>29</v>
      </c>
      <c r="AB114" s="18">
        <v>29</v>
      </c>
      <c r="AC114" s="18">
        <v>0</v>
      </c>
      <c r="AD114" s="14">
        <v>0</v>
      </c>
      <c r="AE114" s="10">
        <v>-77.6806542553191</v>
      </c>
      <c r="AF114" s="10">
        <v>13.2285265957447</v>
      </c>
      <c r="AG114" s="14">
        <v>0.99468085106383</v>
      </c>
      <c r="AH114" s="14">
        <v>1</v>
      </c>
      <c r="AI114" s="14">
        <v>0.99468085106383</v>
      </c>
      <c r="AJ114" s="14">
        <v>1</v>
      </c>
      <c r="AK114" s="10">
        <v>61.4204057971014</v>
      </c>
      <c r="AL114" s="10">
        <v>90.722</v>
      </c>
      <c r="AM114" s="14">
        <v>1</v>
      </c>
      <c r="AN114" s="18">
        <v>29</v>
      </c>
      <c r="AO114" s="18">
        <v>29</v>
      </c>
      <c r="AP114" s="18">
        <v>0</v>
      </c>
      <c r="AQ114" s="14">
        <v>0</v>
      </c>
      <c r="AR114" s="10">
        <v>30.4270602409639</v>
      </c>
      <c r="AS114" s="10">
        <v>63.627</v>
      </c>
      <c r="AT114" s="14">
        <v>0.975903614457831</v>
      </c>
      <c r="AU114" s="18">
        <v>29</v>
      </c>
      <c r="AV114" s="18">
        <v>29</v>
      </c>
      <c r="AW114" s="18">
        <v>0</v>
      </c>
      <c r="AX114" s="14">
        <v>0</v>
      </c>
    </row>
    <row r="115" spans="1:50">
      <c r="A115" s="3" t="s">
        <v>51</v>
      </c>
      <c r="B115" s="4" t="s">
        <v>62</v>
      </c>
      <c r="C115" s="4" t="s">
        <v>49</v>
      </c>
      <c r="D115" s="4" t="s">
        <v>64</v>
      </c>
      <c r="E115" s="4">
        <v>3</v>
      </c>
      <c r="F115" s="11">
        <v>215.549324340582</v>
      </c>
      <c r="G115" s="11">
        <v>8.31405555555556</v>
      </c>
      <c r="H115" s="11">
        <v>25.9258941560174</v>
      </c>
      <c r="I115" s="11">
        <v>8.30464444444444</v>
      </c>
      <c r="J115" s="15">
        <v>0.998868048084569</v>
      </c>
      <c r="K115" s="11">
        <v>-77.449146660497</v>
      </c>
      <c r="L115" s="11">
        <v>12.082469679499</v>
      </c>
      <c r="M115" s="15">
        <v>0.984580712435669</v>
      </c>
      <c r="N115" s="15">
        <v>0.985145817215513</v>
      </c>
      <c r="O115" s="15">
        <v>0.985681476841843</v>
      </c>
      <c r="P115" s="15">
        <v>0.986247213410651</v>
      </c>
      <c r="Q115" s="11">
        <v>42.595683608628</v>
      </c>
      <c r="R115" s="11">
        <v>76.8095</v>
      </c>
      <c r="S115" s="15">
        <v>0.892079207920792</v>
      </c>
      <c r="T115" s="19">
        <v>236</v>
      </c>
      <c r="U115" s="19">
        <v>236</v>
      </c>
      <c r="V115" s="19">
        <v>0</v>
      </c>
      <c r="W115" s="15">
        <v>0</v>
      </c>
      <c r="X115" s="11">
        <v>18.364617596034</v>
      </c>
      <c r="Y115" s="11">
        <v>30.4304</v>
      </c>
      <c r="Z115" s="15">
        <v>0.98257790368272</v>
      </c>
      <c r="AA115" s="19">
        <v>239</v>
      </c>
      <c r="AB115" s="19">
        <v>239</v>
      </c>
      <c r="AC115" s="19">
        <v>0</v>
      </c>
      <c r="AD115" s="15">
        <v>0</v>
      </c>
      <c r="AE115" s="11">
        <v>-76.6772693033017</v>
      </c>
      <c r="AF115" s="11">
        <v>11.6574520203101</v>
      </c>
      <c r="AG115" s="15">
        <v>0.980716253443526</v>
      </c>
      <c r="AH115" s="15">
        <v>0.981267217630854</v>
      </c>
      <c r="AI115" s="15">
        <v>0.984077841662981</v>
      </c>
      <c r="AJ115" s="15">
        <v>0.984630694383016</v>
      </c>
      <c r="AK115" s="11">
        <v>40.3941726179187</v>
      </c>
      <c r="AL115" s="11">
        <v>75.244876</v>
      </c>
      <c r="AM115" s="15">
        <v>0.885390428211587</v>
      </c>
      <c r="AN115" s="19">
        <v>236</v>
      </c>
      <c r="AO115" s="19">
        <v>236</v>
      </c>
      <c r="AP115" s="19">
        <v>0</v>
      </c>
      <c r="AQ115" s="15">
        <v>0</v>
      </c>
      <c r="AR115" s="11">
        <v>18.1501507805932</v>
      </c>
      <c r="AS115" s="11">
        <v>29.9681433333333</v>
      </c>
      <c r="AT115" s="15">
        <v>0.980084745762712</v>
      </c>
      <c r="AU115" s="19">
        <v>239</v>
      </c>
      <c r="AV115" s="19">
        <v>239</v>
      </c>
      <c r="AW115" s="19">
        <v>0</v>
      </c>
      <c r="AX115" s="15">
        <v>0</v>
      </c>
    </row>
    <row r="116" spans="1:50">
      <c r="A116" s="3" t="s">
        <v>44</v>
      </c>
      <c r="B116" s="3" t="s">
        <v>59</v>
      </c>
      <c r="C116" s="4" t="s">
        <v>46</v>
      </c>
      <c r="D116" s="5" t="s">
        <v>57</v>
      </c>
      <c r="E116" s="7">
        <v>2</v>
      </c>
      <c r="F116" s="10"/>
      <c r="G116" s="10">
        <v>0.24</v>
      </c>
      <c r="H116" s="10"/>
      <c r="I116" s="10">
        <v>0.24</v>
      </c>
      <c r="J116" s="14">
        <v>1</v>
      </c>
      <c r="K116" s="10">
        <v>-77.4141890328552</v>
      </c>
      <c r="L116" s="10">
        <v>11.3011318833873</v>
      </c>
      <c r="M116" s="14">
        <v>1</v>
      </c>
      <c r="N116" s="14">
        <v>1</v>
      </c>
      <c r="O116" s="14">
        <v>1</v>
      </c>
      <c r="P116" s="14">
        <v>1</v>
      </c>
      <c r="Q116" s="10">
        <v>57.6732327868852</v>
      </c>
      <c r="R116" s="10">
        <v>67.194</v>
      </c>
      <c r="S116" s="14">
        <v>0.980327868852459</v>
      </c>
      <c r="T116" s="18">
        <v>10</v>
      </c>
      <c r="U116" s="18">
        <v>10</v>
      </c>
      <c r="V116" s="18">
        <v>0</v>
      </c>
      <c r="W116" s="14">
        <v>0</v>
      </c>
      <c r="X116" s="10">
        <v>15.8042633333333</v>
      </c>
      <c r="Y116" s="10">
        <v>16.961</v>
      </c>
      <c r="Z116" s="14">
        <v>1</v>
      </c>
      <c r="AA116" s="18">
        <v>10</v>
      </c>
      <c r="AB116" s="18">
        <v>10</v>
      </c>
      <c r="AC116" s="18">
        <v>0</v>
      </c>
      <c r="AD116" s="14">
        <v>0</v>
      </c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</row>
    <row r="117" spans="1:50">
      <c r="A117" s="3" t="s">
        <v>51</v>
      </c>
      <c r="B117" s="4" t="s">
        <v>62</v>
      </c>
      <c r="C117" s="4" t="s">
        <v>49</v>
      </c>
      <c r="D117" s="4" t="s">
        <v>64</v>
      </c>
      <c r="E117" s="4">
        <v>2</v>
      </c>
      <c r="F117" s="11">
        <v>215.549954720616</v>
      </c>
      <c r="G117" s="11">
        <v>8.3125</v>
      </c>
      <c r="H117" s="11">
        <v>25.9308216205253</v>
      </c>
      <c r="I117" s="11">
        <v>8.30571111111111</v>
      </c>
      <c r="J117" s="15">
        <v>0.999183291562239</v>
      </c>
      <c r="K117" s="11">
        <v>-77.41381794389</v>
      </c>
      <c r="L117" s="11">
        <v>12.0253404330431</v>
      </c>
      <c r="M117" s="15">
        <v>0.979673866207045</v>
      </c>
      <c r="N117" s="15">
        <v>0.980246148874286</v>
      </c>
      <c r="O117" s="15">
        <v>0.98071712610366</v>
      </c>
      <c r="P117" s="15">
        <v>0.981290018197749</v>
      </c>
      <c r="Q117" s="11">
        <v>40.4843080012598</v>
      </c>
      <c r="R117" s="11">
        <v>74.3264</v>
      </c>
      <c r="S117" s="15">
        <v>0.881858902575588</v>
      </c>
      <c r="T117" s="19">
        <v>237</v>
      </c>
      <c r="U117" s="19">
        <v>237</v>
      </c>
      <c r="V117" s="19">
        <v>0</v>
      </c>
      <c r="W117" s="15">
        <v>0</v>
      </c>
      <c r="X117" s="11">
        <v>17.8660741252666</v>
      </c>
      <c r="Y117" s="11">
        <v>30.1705</v>
      </c>
      <c r="Z117" s="15">
        <v>0.967154841461681</v>
      </c>
      <c r="AA117" s="19">
        <v>236</v>
      </c>
      <c r="AB117" s="19">
        <v>236</v>
      </c>
      <c r="AC117" s="19">
        <v>0</v>
      </c>
      <c r="AD117" s="15">
        <v>0</v>
      </c>
      <c r="AE117" s="11">
        <v>-76.7870940422858</v>
      </c>
      <c r="AF117" s="11">
        <v>11.5114157972915</v>
      </c>
      <c r="AG117" s="15">
        <v>0.978074041427942</v>
      </c>
      <c r="AH117" s="15">
        <v>0.97851476421331</v>
      </c>
      <c r="AI117" s="15">
        <v>0.981426202321725</v>
      </c>
      <c r="AJ117" s="15">
        <v>0.981868435599779</v>
      </c>
      <c r="AK117" s="11">
        <v>38.4514576649584</v>
      </c>
      <c r="AL117" s="11">
        <v>71.704578</v>
      </c>
      <c r="AM117" s="15">
        <v>0.866281652598845</v>
      </c>
      <c r="AN117" s="19">
        <v>237</v>
      </c>
      <c r="AO117" s="19">
        <v>237</v>
      </c>
      <c r="AP117" s="19">
        <v>0</v>
      </c>
      <c r="AQ117" s="15">
        <v>0</v>
      </c>
      <c r="AR117" s="11">
        <v>18.0158001234094</v>
      </c>
      <c r="AS117" s="11">
        <v>29.7001606666667</v>
      </c>
      <c r="AT117" s="15">
        <v>0.973191489361702</v>
      </c>
      <c r="AU117" s="19">
        <v>236</v>
      </c>
      <c r="AV117" s="19">
        <v>236</v>
      </c>
      <c r="AW117" s="19">
        <v>0</v>
      </c>
      <c r="AX117" s="15">
        <v>0</v>
      </c>
    </row>
    <row r="118" spans="1:50">
      <c r="A118" s="3" t="s">
        <v>51</v>
      </c>
      <c r="B118" s="5" t="s">
        <v>63</v>
      </c>
      <c r="C118" s="6" t="s">
        <v>49</v>
      </c>
      <c r="D118" s="6" t="s">
        <v>61</v>
      </c>
      <c r="E118" s="5">
        <v>3</v>
      </c>
      <c r="F118" s="11">
        <v>2.23328234964609</v>
      </c>
      <c r="G118" s="11">
        <v>0.601433333333333</v>
      </c>
      <c r="H118" s="11">
        <v>3.71326666792566</v>
      </c>
      <c r="I118" s="11">
        <v>0.599736111111111</v>
      </c>
      <c r="J118" s="15">
        <v>0.997178037650797</v>
      </c>
      <c r="K118" s="11">
        <v>-77.3567322592699</v>
      </c>
      <c r="L118" s="11">
        <v>10.9882984345879</v>
      </c>
      <c r="M118" s="15">
        <v>0.973266499582289</v>
      </c>
      <c r="N118" s="15">
        <v>0.975679940592221</v>
      </c>
      <c r="O118" s="15">
        <v>0.976075218767455</v>
      </c>
      <c r="P118" s="15">
        <v>0.978495624650903</v>
      </c>
      <c r="Q118" s="11">
        <v>25.6924061944444</v>
      </c>
      <c r="R118" s="11">
        <v>44.914</v>
      </c>
      <c r="S118" s="15">
        <v>0.809259259259259</v>
      </c>
      <c r="T118" s="19">
        <v>18</v>
      </c>
      <c r="U118" s="19">
        <v>18</v>
      </c>
      <c r="V118" s="19">
        <v>0</v>
      </c>
      <c r="W118" s="15">
        <v>0</v>
      </c>
      <c r="X118" s="11">
        <v>8.99222002745098</v>
      </c>
      <c r="Y118" s="11">
        <v>12.3687</v>
      </c>
      <c r="Z118" s="15">
        <v>0.958823529411765</v>
      </c>
      <c r="AA118" s="19">
        <v>17</v>
      </c>
      <c r="AB118" s="19">
        <v>17</v>
      </c>
      <c r="AC118" s="19">
        <v>0</v>
      </c>
      <c r="AD118" s="15">
        <v>0</v>
      </c>
      <c r="AE118" s="11">
        <v>-78.2706050455414</v>
      </c>
      <c r="AF118" s="11">
        <v>10.8633831174804</v>
      </c>
      <c r="AG118" s="15">
        <v>0.963963963963964</v>
      </c>
      <c r="AH118" s="15">
        <v>0.963963963963964</v>
      </c>
      <c r="AI118" s="15">
        <v>0.981651376146789</v>
      </c>
      <c r="AJ118" s="15">
        <v>0.981651376146789</v>
      </c>
      <c r="AK118" s="11">
        <v>22.0678147149395</v>
      </c>
      <c r="AL118" s="11">
        <v>41.1917402272727</v>
      </c>
      <c r="AM118" s="15">
        <v>0.755555555555556</v>
      </c>
      <c r="AN118" s="19">
        <v>18</v>
      </c>
      <c r="AO118" s="19">
        <v>18</v>
      </c>
      <c r="AP118" s="19">
        <v>0</v>
      </c>
      <c r="AQ118" s="15">
        <v>0</v>
      </c>
      <c r="AR118" s="11">
        <v>8.95119912921509</v>
      </c>
      <c r="AS118" s="11">
        <v>11.969663</v>
      </c>
      <c r="AT118" s="15">
        <v>0.977272727272727</v>
      </c>
      <c r="AU118" s="19">
        <v>17</v>
      </c>
      <c r="AV118" s="19">
        <v>17</v>
      </c>
      <c r="AW118" s="19">
        <v>0</v>
      </c>
      <c r="AX118" s="15">
        <v>0</v>
      </c>
    </row>
    <row r="119" spans="1:50">
      <c r="A119" s="3" t="s">
        <v>44</v>
      </c>
      <c r="B119" s="3" t="s">
        <v>59</v>
      </c>
      <c r="C119" s="4" t="s">
        <v>49</v>
      </c>
      <c r="D119" s="5" t="s">
        <v>50</v>
      </c>
      <c r="E119" s="7">
        <v>2</v>
      </c>
      <c r="F119" s="10">
        <v>2.718</v>
      </c>
      <c r="G119" s="10">
        <v>0.609</v>
      </c>
      <c r="H119" s="10">
        <v>4.46305418719212</v>
      </c>
      <c r="I119" s="10">
        <v>0.6074929686</v>
      </c>
      <c r="J119" s="14">
        <v>0.9975254</v>
      </c>
      <c r="K119" s="10">
        <v>-77.2001997958952</v>
      </c>
      <c r="L119" s="10">
        <v>13.1033138677855</v>
      </c>
      <c r="M119" s="14">
        <v>0.969251639158942</v>
      </c>
      <c r="N119" s="14">
        <v>0.969251639158942</v>
      </c>
      <c r="O119" s="14">
        <v>0.972219072457195</v>
      </c>
      <c r="P119" s="14">
        <v>0.972219072457195</v>
      </c>
      <c r="Q119" s="10">
        <v>29.0420395778364</v>
      </c>
      <c r="R119" s="10">
        <v>70.796</v>
      </c>
      <c r="S119" s="14">
        <v>0.774406332453826</v>
      </c>
      <c r="T119" s="18">
        <v>25</v>
      </c>
      <c r="U119" s="18">
        <v>25</v>
      </c>
      <c r="V119" s="18">
        <v>0</v>
      </c>
      <c r="W119" s="14">
        <v>0</v>
      </c>
      <c r="X119" s="10">
        <v>29.4491959026889</v>
      </c>
      <c r="Y119" s="10">
        <v>74.428</v>
      </c>
      <c r="Z119" s="14">
        <v>0.996158770806658</v>
      </c>
      <c r="AA119" s="18">
        <v>26</v>
      </c>
      <c r="AB119" s="18">
        <v>26</v>
      </c>
      <c r="AC119" s="18">
        <v>0</v>
      </c>
      <c r="AD119" s="14">
        <v>0</v>
      </c>
      <c r="AE119" s="10">
        <v>-77.2726823529412</v>
      </c>
      <c r="AF119" s="10">
        <v>12.7048352941176</v>
      </c>
      <c r="AG119" s="14">
        <v>0.976744186046511</v>
      </c>
      <c r="AH119" s="14">
        <v>0.976744186046511</v>
      </c>
      <c r="AI119" s="14">
        <v>0.988235294117647</v>
      </c>
      <c r="AJ119" s="14">
        <v>0.988235294117647</v>
      </c>
      <c r="AK119" s="10">
        <v>29.0018412698413</v>
      </c>
      <c r="AL119" s="10">
        <v>70.298</v>
      </c>
      <c r="AM119" s="14">
        <v>0.746031746031746</v>
      </c>
      <c r="AN119" s="18">
        <v>25</v>
      </c>
      <c r="AO119" s="18">
        <v>25</v>
      </c>
      <c r="AP119" s="18">
        <v>0</v>
      </c>
      <c r="AQ119" s="14">
        <v>0</v>
      </c>
      <c r="AR119" s="10">
        <v>27.9693287671233</v>
      </c>
      <c r="AS119" s="10">
        <v>66.349</v>
      </c>
      <c r="AT119" s="14">
        <v>1</v>
      </c>
      <c r="AU119" s="18">
        <v>26</v>
      </c>
      <c r="AV119" s="18">
        <v>26</v>
      </c>
      <c r="AW119" s="18">
        <v>0</v>
      </c>
      <c r="AX119" s="14">
        <v>0</v>
      </c>
    </row>
    <row r="120" spans="1:50">
      <c r="A120" s="3" t="s">
        <v>44</v>
      </c>
      <c r="B120" s="3" t="s">
        <v>45</v>
      </c>
      <c r="C120" s="4" t="s">
        <v>46</v>
      </c>
      <c r="D120" s="5" t="s">
        <v>57</v>
      </c>
      <c r="E120" s="7">
        <v>3</v>
      </c>
      <c r="F120" s="10"/>
      <c r="G120" s="10">
        <v>0.274</v>
      </c>
      <c r="H120" s="10"/>
      <c r="I120" s="10">
        <v>0.274</v>
      </c>
      <c r="J120" s="14">
        <v>1</v>
      </c>
      <c r="K120" s="10">
        <v>-77.1675001036269</v>
      </c>
      <c r="L120" s="10">
        <v>2.66426507772021</v>
      </c>
      <c r="M120" s="14">
        <v>0.995233160621762</v>
      </c>
      <c r="N120" s="14">
        <v>0.995233160621762</v>
      </c>
      <c r="O120" s="14">
        <v>0.995233160621762</v>
      </c>
      <c r="P120" s="14">
        <v>0.995233160621762</v>
      </c>
      <c r="Q120" s="10">
        <v>4.16117704918033</v>
      </c>
      <c r="R120" s="10">
        <v>6.836</v>
      </c>
      <c r="S120" s="14">
        <v>0.0229508196721311</v>
      </c>
      <c r="T120" s="18">
        <v>10</v>
      </c>
      <c r="U120" s="18">
        <v>10</v>
      </c>
      <c r="V120" s="18">
        <v>0</v>
      </c>
      <c r="W120" s="14">
        <v>0</v>
      </c>
      <c r="X120" s="10">
        <v>8.70883666666667</v>
      </c>
      <c r="Y120" s="10">
        <v>10.462</v>
      </c>
      <c r="Z120" s="14">
        <v>0.996666666666667</v>
      </c>
      <c r="AA120" s="18">
        <v>10</v>
      </c>
      <c r="AB120" s="18">
        <v>10</v>
      </c>
      <c r="AC120" s="18">
        <v>0</v>
      </c>
      <c r="AD120" s="14">
        <v>0</v>
      </c>
      <c r="AE120" s="10"/>
      <c r="AF120" s="10"/>
      <c r="AG120" s="14"/>
      <c r="AH120" s="14"/>
      <c r="AI120" s="14"/>
      <c r="AJ120" s="14"/>
      <c r="AK120" s="10"/>
      <c r="AL120" s="10"/>
      <c r="AM120" s="14"/>
      <c r="AN120" s="18"/>
      <c r="AO120" s="18"/>
      <c r="AP120" s="18"/>
      <c r="AQ120" s="14"/>
      <c r="AR120" s="10"/>
      <c r="AS120" s="10"/>
      <c r="AT120" s="14"/>
      <c r="AU120" s="18"/>
      <c r="AV120" s="18"/>
      <c r="AW120" s="18"/>
      <c r="AX120" s="14"/>
    </row>
    <row r="121" spans="1:50">
      <c r="A121" s="3" t="s">
        <v>44</v>
      </c>
      <c r="B121" s="3" t="s">
        <v>45</v>
      </c>
      <c r="C121" s="4" t="s">
        <v>46</v>
      </c>
      <c r="D121" s="5" t="s">
        <v>57</v>
      </c>
      <c r="E121" s="7">
        <v>2</v>
      </c>
      <c r="F121" s="10"/>
      <c r="G121" s="10">
        <v>0.302</v>
      </c>
      <c r="H121" s="10"/>
      <c r="I121" s="10">
        <v>0.302</v>
      </c>
      <c r="J121" s="14">
        <v>1</v>
      </c>
      <c r="K121" s="10">
        <v>-77.1228951048951</v>
      </c>
      <c r="L121" s="10">
        <v>9.12528468899522</v>
      </c>
      <c r="M121" s="14">
        <v>1</v>
      </c>
      <c r="N121" s="14">
        <v>1</v>
      </c>
      <c r="O121" s="14">
        <v>1</v>
      </c>
      <c r="P121" s="14">
        <v>1</v>
      </c>
      <c r="Q121" s="10">
        <v>2.20276642335766</v>
      </c>
      <c r="R121" s="10">
        <v>2.477</v>
      </c>
      <c r="S121" s="14">
        <v>0.0218978102189781</v>
      </c>
      <c r="T121" s="18">
        <v>9</v>
      </c>
      <c r="U121" s="18">
        <v>9</v>
      </c>
      <c r="V121" s="18">
        <v>0</v>
      </c>
      <c r="W121" s="14">
        <v>0</v>
      </c>
      <c r="X121" s="10">
        <v>12.1747966666667</v>
      </c>
      <c r="Y121" s="10">
        <v>14.481</v>
      </c>
      <c r="Z121" s="14">
        <v>0.996666666666667</v>
      </c>
      <c r="AA121" s="18">
        <v>10</v>
      </c>
      <c r="AB121" s="18">
        <v>10</v>
      </c>
      <c r="AC121" s="18">
        <v>0</v>
      </c>
      <c r="AD121" s="14">
        <v>0</v>
      </c>
      <c r="AE121" s="10"/>
      <c r="AF121" s="10"/>
      <c r="AG121" s="14"/>
      <c r="AH121" s="14"/>
      <c r="AI121" s="14"/>
      <c r="AJ121" s="14"/>
      <c r="AK121" s="10"/>
      <c r="AL121" s="10"/>
      <c r="AM121" s="14"/>
      <c r="AN121" s="18"/>
      <c r="AO121" s="18"/>
      <c r="AP121" s="18"/>
      <c r="AQ121" s="14"/>
      <c r="AR121" s="10"/>
      <c r="AS121" s="10"/>
      <c r="AT121" s="14"/>
      <c r="AU121" s="18"/>
      <c r="AV121" s="18"/>
      <c r="AW121" s="18"/>
      <c r="AX121" s="14"/>
    </row>
    <row r="122" spans="1:50">
      <c r="A122" s="3" t="s">
        <v>51</v>
      </c>
      <c r="B122" s="4" t="s">
        <v>62</v>
      </c>
      <c r="C122" s="4" t="s">
        <v>49</v>
      </c>
      <c r="D122" s="4" t="s">
        <v>64</v>
      </c>
      <c r="E122" s="4">
        <v>1</v>
      </c>
      <c r="F122" s="11">
        <v>215.581824909568</v>
      </c>
      <c r="G122" s="11">
        <v>8.31548888888889</v>
      </c>
      <c r="H122" s="11">
        <v>25.9253337705288</v>
      </c>
      <c r="I122" s="11">
        <v>8.29985277777778</v>
      </c>
      <c r="J122" s="15">
        <v>0.998119640189526</v>
      </c>
      <c r="K122" s="11">
        <v>-76.8082894755562</v>
      </c>
      <c r="L122" s="11">
        <v>13.1606986913722</v>
      </c>
      <c r="M122" s="15">
        <v>0.967893568655325</v>
      </c>
      <c r="N122" s="15">
        <v>0.968577540250387</v>
      </c>
      <c r="O122" s="15">
        <v>0.969798973366659</v>
      </c>
      <c r="P122" s="15">
        <v>0.970484291434868</v>
      </c>
      <c r="Q122" s="11">
        <v>43.6944632672328</v>
      </c>
      <c r="R122" s="11">
        <v>77.2357</v>
      </c>
      <c r="S122" s="15">
        <v>0.956404812455768</v>
      </c>
      <c r="T122" s="19">
        <v>236</v>
      </c>
      <c r="U122" s="19">
        <v>236</v>
      </c>
      <c r="V122" s="19">
        <v>0</v>
      </c>
      <c r="W122" s="15">
        <v>0</v>
      </c>
      <c r="X122" s="11">
        <v>55.2640654432011</v>
      </c>
      <c r="Y122" s="11">
        <v>80.3213</v>
      </c>
      <c r="Z122" s="15">
        <v>0.991643059490085</v>
      </c>
      <c r="AA122" s="19">
        <v>239</v>
      </c>
      <c r="AB122" s="19">
        <v>239</v>
      </c>
      <c r="AC122" s="19">
        <v>0</v>
      </c>
      <c r="AD122" s="15">
        <v>0</v>
      </c>
      <c r="AE122" s="11">
        <v>-76.0516731519832</v>
      </c>
      <c r="AF122" s="11">
        <v>12.6181323069057</v>
      </c>
      <c r="AG122" s="15">
        <v>0.963296703296703</v>
      </c>
      <c r="AH122" s="15">
        <v>0.965054945054945</v>
      </c>
      <c r="AI122" s="15">
        <v>0.96733612888987</v>
      </c>
      <c r="AJ122" s="15">
        <v>0.969101743544471</v>
      </c>
      <c r="AK122" s="11">
        <v>44.9074957718455</v>
      </c>
      <c r="AL122" s="11">
        <v>76.4445772</v>
      </c>
      <c r="AM122" s="15">
        <v>0.95796178343949</v>
      </c>
      <c r="AN122" s="19">
        <v>236</v>
      </c>
      <c r="AO122" s="19">
        <v>236</v>
      </c>
      <c r="AP122" s="19">
        <v>0</v>
      </c>
      <c r="AQ122" s="15">
        <v>0</v>
      </c>
      <c r="AR122" s="11">
        <v>56.8157888372044</v>
      </c>
      <c r="AS122" s="11">
        <v>79.961158</v>
      </c>
      <c r="AT122" s="15">
        <v>0.989384288747346</v>
      </c>
      <c r="AU122" s="19">
        <v>239</v>
      </c>
      <c r="AV122" s="19">
        <v>239</v>
      </c>
      <c r="AW122" s="19">
        <v>0</v>
      </c>
      <c r="AX122" s="15">
        <v>0</v>
      </c>
    </row>
    <row r="123" spans="1:50">
      <c r="A123" s="3" t="s">
        <v>51</v>
      </c>
      <c r="B123" s="4" t="s">
        <v>58</v>
      </c>
      <c r="C123" s="4" t="s">
        <v>49</v>
      </c>
      <c r="D123" s="4" t="s">
        <v>64</v>
      </c>
      <c r="E123" s="4">
        <v>3</v>
      </c>
      <c r="F123" s="11">
        <v>214.098004991591</v>
      </c>
      <c r="G123" s="11">
        <v>7.05213361111111</v>
      </c>
      <c r="H123" s="11">
        <v>30.3593234045176</v>
      </c>
      <c r="I123" s="11">
        <v>6.86730805555556</v>
      </c>
      <c r="J123" s="15">
        <v>0.973791540865824</v>
      </c>
      <c r="K123" s="11">
        <v>-76.6055014783322</v>
      </c>
      <c r="L123" s="11">
        <v>12.2438212914571</v>
      </c>
      <c r="M123" s="15">
        <v>0.931065360720172</v>
      </c>
      <c r="N123" s="15">
        <v>0.935178141245087</v>
      </c>
      <c r="O123" s="15">
        <v>0.956246083226851</v>
      </c>
      <c r="P123" s="15">
        <v>0.960470094165331</v>
      </c>
      <c r="Q123" s="11">
        <v>24.529097529375</v>
      </c>
      <c r="R123" s="11">
        <v>56.6713</v>
      </c>
      <c r="S123" s="15">
        <v>0.682291666666667</v>
      </c>
      <c r="T123" s="19">
        <v>164</v>
      </c>
      <c r="U123" s="19">
        <v>160</v>
      </c>
      <c r="V123" s="19">
        <v>1</v>
      </c>
      <c r="W123" s="15">
        <v>0.00625</v>
      </c>
      <c r="X123" s="11">
        <v>13.7031653502988</v>
      </c>
      <c r="Y123" s="11">
        <v>22.2222</v>
      </c>
      <c r="Z123" s="15">
        <v>0.928703894498249</v>
      </c>
      <c r="AA123" s="19">
        <v>165</v>
      </c>
      <c r="AB123" s="19">
        <v>163</v>
      </c>
      <c r="AC123" s="19">
        <v>2</v>
      </c>
      <c r="AD123" s="15">
        <v>0.0122699386503067</v>
      </c>
      <c r="AE123" s="11">
        <v>-78.0593922629795</v>
      </c>
      <c r="AF123" s="11">
        <v>10.9849868554341</v>
      </c>
      <c r="AG123" s="15">
        <v>0.903871391076115</v>
      </c>
      <c r="AH123" s="15">
        <v>0.906167979002625</v>
      </c>
      <c r="AI123" s="15">
        <v>0.950218441020924</v>
      </c>
      <c r="AJ123" s="15">
        <v>0.95263278914693</v>
      </c>
      <c r="AK123" s="11">
        <v>23.6313716993937</v>
      </c>
      <c r="AL123" s="11">
        <v>54.03387275</v>
      </c>
      <c r="AM123" s="15">
        <v>0.659694742792538</v>
      </c>
      <c r="AN123" s="19">
        <v>164</v>
      </c>
      <c r="AO123" s="19">
        <v>160</v>
      </c>
      <c r="AP123" s="19">
        <v>1</v>
      </c>
      <c r="AQ123" s="15">
        <v>0.00625</v>
      </c>
      <c r="AR123" s="11">
        <v>13.4503375077128</v>
      </c>
      <c r="AS123" s="11">
        <v>21.7603415</v>
      </c>
      <c r="AT123" s="15">
        <v>0.919824272377814</v>
      </c>
      <c r="AU123" s="19">
        <v>165</v>
      </c>
      <c r="AV123" s="19">
        <v>163</v>
      </c>
      <c r="AW123" s="19">
        <v>2</v>
      </c>
      <c r="AX123" s="15">
        <v>0.0122699386503067</v>
      </c>
    </row>
    <row r="124" spans="1:50">
      <c r="A124" s="3" t="s">
        <v>44</v>
      </c>
      <c r="B124" s="3" t="s">
        <v>59</v>
      </c>
      <c r="C124" s="4" t="s">
        <v>46</v>
      </c>
      <c r="D124" s="5" t="s">
        <v>57</v>
      </c>
      <c r="E124" s="7">
        <v>3</v>
      </c>
      <c r="F124" s="10"/>
      <c r="G124" s="10">
        <v>0.24</v>
      </c>
      <c r="H124" s="10"/>
      <c r="I124" s="10">
        <v>0.24</v>
      </c>
      <c r="J124" s="14">
        <v>1</v>
      </c>
      <c r="K124" s="10">
        <v>-76.5685315899097</v>
      </c>
      <c r="L124" s="10">
        <v>13.88829900486</v>
      </c>
      <c r="M124" s="14">
        <v>1</v>
      </c>
      <c r="N124" s="14">
        <v>1</v>
      </c>
      <c r="O124" s="14">
        <v>1</v>
      </c>
      <c r="P124" s="14">
        <v>1</v>
      </c>
      <c r="Q124" s="10">
        <v>54.0047532894737</v>
      </c>
      <c r="R124" s="10">
        <v>62.634</v>
      </c>
      <c r="S124" s="14">
        <v>0.986842105263158</v>
      </c>
      <c r="T124" s="18">
        <v>10</v>
      </c>
      <c r="U124" s="18">
        <v>10</v>
      </c>
      <c r="V124" s="18">
        <v>0</v>
      </c>
      <c r="W124" s="14">
        <v>0</v>
      </c>
      <c r="X124" s="10">
        <v>15.7554366666667</v>
      </c>
      <c r="Y124" s="10">
        <v>17.026</v>
      </c>
      <c r="Z124" s="14">
        <v>1</v>
      </c>
      <c r="AA124" s="18">
        <v>10</v>
      </c>
      <c r="AB124" s="18">
        <v>10</v>
      </c>
      <c r="AC124" s="18">
        <v>0</v>
      </c>
      <c r="AD124" s="14">
        <v>0</v>
      </c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</row>
    <row r="125" spans="1:50">
      <c r="A125" s="3" t="s">
        <v>51</v>
      </c>
      <c r="B125" s="6" t="s">
        <v>52</v>
      </c>
      <c r="C125" s="4" t="s">
        <v>49</v>
      </c>
      <c r="D125" s="4" t="s">
        <v>64</v>
      </c>
      <c r="E125" s="4">
        <v>3</v>
      </c>
      <c r="F125" s="11">
        <v>204.623556026816</v>
      </c>
      <c r="G125" s="11">
        <v>9.33337444444444</v>
      </c>
      <c r="H125" s="11">
        <v>21.9238558620795</v>
      </c>
      <c r="I125" s="11">
        <v>9.29362416666667</v>
      </c>
      <c r="J125" s="15">
        <v>0.995741060426281</v>
      </c>
      <c r="K125" s="11">
        <v>-76.5346476456775</v>
      </c>
      <c r="L125" s="11">
        <v>11.05071541746</v>
      </c>
      <c r="M125" s="15">
        <v>0.956578860934113</v>
      </c>
      <c r="N125" s="15">
        <v>0.959039252805265</v>
      </c>
      <c r="O125" s="15">
        <v>0.960726923768968</v>
      </c>
      <c r="P125" s="15">
        <v>0.963197984765789</v>
      </c>
      <c r="Q125" s="11">
        <v>29.2639112482422</v>
      </c>
      <c r="R125" s="11">
        <v>57.8742</v>
      </c>
      <c r="S125" s="15">
        <v>0.817333907303774</v>
      </c>
      <c r="T125" s="19">
        <v>233</v>
      </c>
      <c r="U125" s="19">
        <v>232</v>
      </c>
      <c r="V125" s="19">
        <v>0</v>
      </c>
      <c r="W125" s="15">
        <v>0</v>
      </c>
      <c r="X125" s="11">
        <v>15.3460818392624</v>
      </c>
      <c r="Y125" s="11">
        <v>23.04</v>
      </c>
      <c r="Z125" s="15">
        <v>0.973718600261362</v>
      </c>
      <c r="AA125" s="19">
        <v>233</v>
      </c>
      <c r="AB125" s="19">
        <v>232</v>
      </c>
      <c r="AC125" s="19">
        <v>1</v>
      </c>
      <c r="AD125" s="15">
        <v>0.00431034482758621</v>
      </c>
      <c r="AE125" s="11">
        <v>-76.626102605253</v>
      </c>
      <c r="AF125" s="11">
        <v>11.0249119450891</v>
      </c>
      <c r="AG125" s="15">
        <v>0.952020202020202</v>
      </c>
      <c r="AH125" s="15">
        <v>0.955004591368228</v>
      </c>
      <c r="AI125" s="15">
        <v>0.959509486348913</v>
      </c>
      <c r="AJ125" s="15">
        <v>0.962517353077279</v>
      </c>
      <c r="AK125" s="11">
        <v>29.3688126169598</v>
      </c>
      <c r="AL125" s="11">
        <v>56.9869885</v>
      </c>
      <c r="AM125" s="15">
        <v>0.820939334637965</v>
      </c>
      <c r="AN125" s="19">
        <v>233</v>
      </c>
      <c r="AO125" s="19">
        <v>232</v>
      </c>
      <c r="AP125" s="19">
        <v>0</v>
      </c>
      <c r="AQ125" s="15">
        <v>0</v>
      </c>
      <c r="AR125" s="11">
        <v>14.4259704178985</v>
      </c>
      <c r="AS125" s="11">
        <v>22.422422</v>
      </c>
      <c r="AT125" s="15">
        <v>0.970918367346939</v>
      </c>
      <c r="AU125" s="19">
        <v>233</v>
      </c>
      <c r="AV125" s="19">
        <v>232</v>
      </c>
      <c r="AW125" s="19">
        <v>1</v>
      </c>
      <c r="AX125" s="15">
        <v>0.00431034482758621</v>
      </c>
    </row>
    <row r="126" spans="1:50">
      <c r="A126" s="3" t="s">
        <v>44</v>
      </c>
      <c r="B126" s="3" t="s">
        <v>45</v>
      </c>
      <c r="C126" s="4" t="s">
        <v>46</v>
      </c>
      <c r="D126" s="5" t="s">
        <v>53</v>
      </c>
      <c r="E126" s="7">
        <v>2</v>
      </c>
      <c r="F126" s="10"/>
      <c r="G126" s="10">
        <v>0.238</v>
      </c>
      <c r="H126" s="10"/>
      <c r="I126" s="10">
        <v>0.238</v>
      </c>
      <c r="J126" s="14">
        <v>1</v>
      </c>
      <c r="K126" s="10">
        <v>-76.3817133627019</v>
      </c>
      <c r="L126" s="10">
        <v>9.37257239353891</v>
      </c>
      <c r="M126" s="14">
        <v>1</v>
      </c>
      <c r="N126" s="14">
        <v>1</v>
      </c>
      <c r="O126" s="14">
        <v>1</v>
      </c>
      <c r="P126" s="14">
        <v>1</v>
      </c>
      <c r="Q126" s="10">
        <v>23.1301089108911</v>
      </c>
      <c r="R126" s="10">
        <v>33.12</v>
      </c>
      <c r="S126" s="14">
        <v>0.963696369636964</v>
      </c>
      <c r="T126" s="18">
        <v>10</v>
      </c>
      <c r="U126" s="18">
        <v>10</v>
      </c>
      <c r="V126" s="18">
        <v>0</v>
      </c>
      <c r="W126" s="14">
        <v>0</v>
      </c>
      <c r="X126" s="10">
        <v>5.92927722772277</v>
      </c>
      <c r="Y126" s="10">
        <v>10.099</v>
      </c>
      <c r="Z126" s="14">
        <v>0.897689768976898</v>
      </c>
      <c r="AA126" s="18">
        <v>10</v>
      </c>
      <c r="AB126" s="18">
        <v>10</v>
      </c>
      <c r="AC126" s="18">
        <v>0</v>
      </c>
      <c r="AD126" s="14">
        <v>0</v>
      </c>
      <c r="AE126" s="10"/>
      <c r="AF126" s="10"/>
      <c r="AG126" s="14"/>
      <c r="AH126" s="14"/>
      <c r="AI126" s="14"/>
      <c r="AJ126" s="14"/>
      <c r="AK126" s="10"/>
      <c r="AL126" s="10"/>
      <c r="AM126" s="14"/>
      <c r="AN126" s="18"/>
      <c r="AO126" s="18"/>
      <c r="AP126" s="18"/>
      <c r="AQ126" s="14"/>
      <c r="AR126" s="10"/>
      <c r="AS126" s="10"/>
      <c r="AT126" s="14"/>
      <c r="AU126" s="18"/>
      <c r="AV126" s="18"/>
      <c r="AW126" s="18"/>
      <c r="AX126" s="14"/>
    </row>
    <row r="127" spans="1:50">
      <c r="A127" s="3" t="s">
        <v>44</v>
      </c>
      <c r="B127" s="3" t="s">
        <v>45</v>
      </c>
      <c r="C127" s="4" t="s">
        <v>46</v>
      </c>
      <c r="D127" s="5" t="s">
        <v>53</v>
      </c>
      <c r="E127" s="7">
        <v>3</v>
      </c>
      <c r="F127" s="10"/>
      <c r="G127" s="10">
        <v>0.238</v>
      </c>
      <c r="H127" s="10"/>
      <c r="I127" s="10">
        <v>0.238</v>
      </c>
      <c r="J127" s="14">
        <v>1</v>
      </c>
      <c r="K127" s="10">
        <v>-76.3703905882353</v>
      </c>
      <c r="L127" s="10">
        <v>11.7338555882353</v>
      </c>
      <c r="M127" s="14">
        <v>0.999117647058824</v>
      </c>
      <c r="N127" s="14">
        <v>0.999117647058824</v>
      </c>
      <c r="O127" s="14">
        <v>0.999117647058824</v>
      </c>
      <c r="P127" s="14">
        <v>0.999117647058824</v>
      </c>
      <c r="Q127" s="10">
        <v>18.5257770491803</v>
      </c>
      <c r="R127" s="10">
        <v>25.657</v>
      </c>
      <c r="S127" s="14">
        <v>0.901639344262295</v>
      </c>
      <c r="T127" s="18">
        <v>10</v>
      </c>
      <c r="U127" s="18">
        <v>10</v>
      </c>
      <c r="V127" s="18">
        <v>0</v>
      </c>
      <c r="W127" s="14">
        <v>0</v>
      </c>
      <c r="X127" s="10">
        <v>5.60069</v>
      </c>
      <c r="Y127" s="10">
        <v>7.7</v>
      </c>
      <c r="Z127" s="14">
        <v>0.98</v>
      </c>
      <c r="AA127" s="18">
        <v>10</v>
      </c>
      <c r="AB127" s="18">
        <v>10</v>
      </c>
      <c r="AC127" s="18">
        <v>0</v>
      </c>
      <c r="AD127" s="14">
        <v>0</v>
      </c>
      <c r="AE127" s="10"/>
      <c r="AF127" s="10"/>
      <c r="AG127" s="14"/>
      <c r="AH127" s="14"/>
      <c r="AI127" s="14"/>
      <c r="AJ127" s="14"/>
      <c r="AK127" s="10"/>
      <c r="AL127" s="10"/>
      <c r="AM127" s="14"/>
      <c r="AN127" s="18"/>
      <c r="AO127" s="18"/>
      <c r="AP127" s="18"/>
      <c r="AQ127" s="14"/>
      <c r="AR127" s="10"/>
      <c r="AS127" s="10"/>
      <c r="AT127" s="14"/>
      <c r="AU127" s="18"/>
      <c r="AV127" s="18"/>
      <c r="AW127" s="18"/>
      <c r="AX127" s="14"/>
    </row>
    <row r="128" spans="1:50">
      <c r="A128" s="3" t="s">
        <v>51</v>
      </c>
      <c r="B128" s="4" t="s">
        <v>58</v>
      </c>
      <c r="C128" s="4" t="s">
        <v>49</v>
      </c>
      <c r="D128" s="4" t="s">
        <v>64</v>
      </c>
      <c r="E128" s="4">
        <v>2</v>
      </c>
      <c r="F128" s="11">
        <v>214.073460764945</v>
      </c>
      <c r="G128" s="11">
        <v>7.05064166666667</v>
      </c>
      <c r="H128" s="11">
        <v>30.3622664270431</v>
      </c>
      <c r="I128" s="11">
        <v>6.69758611111111</v>
      </c>
      <c r="J128" s="15">
        <v>0.949925755378451</v>
      </c>
      <c r="K128" s="11">
        <v>-76.2237766850019</v>
      </c>
      <c r="L128" s="11">
        <v>12.5886315279094</v>
      </c>
      <c r="M128" s="15">
        <v>0.91661257381695</v>
      </c>
      <c r="N128" s="15">
        <v>0.92205880024698</v>
      </c>
      <c r="O128" s="15">
        <v>0.96497354056419</v>
      </c>
      <c r="P128" s="15">
        <v>0.970707112796367</v>
      </c>
      <c r="Q128" s="11">
        <v>34.5927585052329</v>
      </c>
      <c r="R128" s="11">
        <v>68.9844</v>
      </c>
      <c r="S128" s="15">
        <v>0.817771393392161</v>
      </c>
      <c r="T128" s="19">
        <v>164</v>
      </c>
      <c r="U128" s="19">
        <v>163</v>
      </c>
      <c r="V128" s="19">
        <v>1</v>
      </c>
      <c r="W128" s="15">
        <v>0.00613496932515337</v>
      </c>
      <c r="X128" s="11">
        <v>15.983004922645</v>
      </c>
      <c r="Y128" s="11">
        <v>23.6563</v>
      </c>
      <c r="Z128" s="15">
        <v>0.955915990850489</v>
      </c>
      <c r="AA128" s="19">
        <v>164</v>
      </c>
      <c r="AB128" s="19">
        <v>162</v>
      </c>
      <c r="AC128" s="19">
        <v>2</v>
      </c>
      <c r="AD128" s="15">
        <v>0.0123456790123457</v>
      </c>
      <c r="AE128" s="11">
        <v>-77.5812401962341</v>
      </c>
      <c r="AF128" s="11">
        <v>11.579493993362</v>
      </c>
      <c r="AG128" s="15">
        <v>0.874372955288986</v>
      </c>
      <c r="AH128" s="15">
        <v>0.879607415485278</v>
      </c>
      <c r="AI128" s="15">
        <v>0.960239520958084</v>
      </c>
      <c r="AJ128" s="15">
        <v>0.965988023952096</v>
      </c>
      <c r="AK128" s="11">
        <v>32.8732472200719</v>
      </c>
      <c r="AL128" s="11">
        <v>64.402786</v>
      </c>
      <c r="AM128" s="15">
        <v>0.817286652078775</v>
      </c>
      <c r="AN128" s="19">
        <v>164</v>
      </c>
      <c r="AO128" s="19">
        <v>163</v>
      </c>
      <c r="AP128" s="19">
        <v>1</v>
      </c>
      <c r="AQ128" s="15">
        <v>0.00613496932515337</v>
      </c>
      <c r="AR128" s="11">
        <v>16.2136310888509</v>
      </c>
      <c r="AS128" s="11">
        <v>23.383383</v>
      </c>
      <c r="AT128" s="15">
        <v>0.960838389409818</v>
      </c>
      <c r="AU128" s="19">
        <v>164</v>
      </c>
      <c r="AV128" s="19">
        <v>162</v>
      </c>
      <c r="AW128" s="19">
        <v>2</v>
      </c>
      <c r="AX128" s="15">
        <v>0.0123456790123457</v>
      </c>
    </row>
    <row r="129" spans="1:50">
      <c r="A129" s="3" t="s">
        <v>51</v>
      </c>
      <c r="B129" s="4" t="s">
        <v>58</v>
      </c>
      <c r="C129" s="5" t="s">
        <v>46</v>
      </c>
      <c r="D129" s="6" t="s">
        <v>47</v>
      </c>
      <c r="E129" s="4">
        <v>1</v>
      </c>
      <c r="F129" s="11" t="s">
        <v>54</v>
      </c>
      <c r="G129" s="11">
        <v>0.3979</v>
      </c>
      <c r="H129" s="11" t="s">
        <v>54</v>
      </c>
      <c r="I129" s="11">
        <v>0.397880555555556</v>
      </c>
      <c r="J129" s="15">
        <v>0.99995113233364</v>
      </c>
      <c r="K129" s="11">
        <v>-76.1954173618248</v>
      </c>
      <c r="L129" s="11">
        <v>11.8698826730792</v>
      </c>
      <c r="M129" s="15">
        <v>0.999581064097193</v>
      </c>
      <c r="N129" s="15">
        <v>0.999581064097193</v>
      </c>
      <c r="O129" s="15">
        <v>0.999581064097193</v>
      </c>
      <c r="P129" s="15">
        <v>0.999581064097193</v>
      </c>
      <c r="Q129" s="11">
        <v>56.12173256</v>
      </c>
      <c r="R129" s="11">
        <v>81.1902</v>
      </c>
      <c r="S129" s="15">
        <v>1</v>
      </c>
      <c r="T129" s="19">
        <v>10</v>
      </c>
      <c r="U129" s="19">
        <v>10</v>
      </c>
      <c r="V129" s="19">
        <v>0</v>
      </c>
      <c r="W129" s="15">
        <v>0</v>
      </c>
      <c r="X129" s="11">
        <v>60.8354113333333</v>
      </c>
      <c r="Y129" s="11">
        <v>82.3411</v>
      </c>
      <c r="Z129" s="15">
        <v>1</v>
      </c>
      <c r="AA129" s="19">
        <v>10</v>
      </c>
      <c r="AB129" s="19">
        <v>10</v>
      </c>
      <c r="AC129" s="19">
        <v>0</v>
      </c>
      <c r="AD129" s="15">
        <v>0</v>
      </c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</row>
    <row r="130" spans="1:50">
      <c r="A130" s="3" t="s">
        <v>51</v>
      </c>
      <c r="B130" s="6" t="s">
        <v>55</v>
      </c>
      <c r="C130" s="6" t="s">
        <v>49</v>
      </c>
      <c r="D130" s="6" t="s">
        <v>50</v>
      </c>
      <c r="E130" s="6">
        <v>3</v>
      </c>
      <c r="F130" s="11">
        <v>5.16537125635147</v>
      </c>
      <c r="G130" s="11">
        <v>0.448225</v>
      </c>
      <c r="H130" s="11">
        <v>11.5240588016096</v>
      </c>
      <c r="I130" s="11">
        <v>0.427972222222222</v>
      </c>
      <c r="J130" s="15">
        <v>0.954815599804166</v>
      </c>
      <c r="K130" s="11">
        <v>-76.1931864706318</v>
      </c>
      <c r="L130" s="11">
        <v>11.5960617980071</v>
      </c>
      <c r="M130" s="15">
        <v>0.926762320648783</v>
      </c>
      <c r="N130" s="15">
        <v>0.926762320648783</v>
      </c>
      <c r="O130" s="15">
        <v>0.970472955317481</v>
      </c>
      <c r="P130" s="15">
        <v>0.970472955317481</v>
      </c>
      <c r="Q130" s="11">
        <v>58.1974415692308</v>
      </c>
      <c r="R130" s="11">
        <v>96.4497</v>
      </c>
      <c r="S130" s="15">
        <v>0.953846153846154</v>
      </c>
      <c r="T130" s="19">
        <v>13</v>
      </c>
      <c r="U130" s="19">
        <v>13</v>
      </c>
      <c r="V130" s="19">
        <v>0</v>
      </c>
      <c r="W130" s="15">
        <v>0</v>
      </c>
      <c r="X130" s="11">
        <v>25.9201695410256</v>
      </c>
      <c r="Y130" s="11">
        <v>30.5368</v>
      </c>
      <c r="Z130" s="15">
        <v>0.997435897435897</v>
      </c>
      <c r="AA130" s="19">
        <v>13</v>
      </c>
      <c r="AB130" s="19">
        <v>13</v>
      </c>
      <c r="AC130" s="19">
        <v>0</v>
      </c>
      <c r="AD130" s="15">
        <v>0</v>
      </c>
      <c r="AE130" s="11">
        <v>-76.9832920682799</v>
      </c>
      <c r="AF130" s="11">
        <v>11.3020240294766</v>
      </c>
      <c r="AG130" s="15">
        <v>0.947154471544715</v>
      </c>
      <c r="AH130" s="15">
        <v>0.947154471544715</v>
      </c>
      <c r="AI130" s="15">
        <v>0.991489361702128</v>
      </c>
      <c r="AJ130" s="15">
        <v>0.991489361702128</v>
      </c>
      <c r="AK130" s="11">
        <v>58.1492525297957</v>
      </c>
      <c r="AL130" s="11">
        <v>91.6623617777778</v>
      </c>
      <c r="AM130" s="15">
        <v>0.986111111111111</v>
      </c>
      <c r="AN130" s="19">
        <v>13</v>
      </c>
      <c r="AO130" s="19">
        <v>13</v>
      </c>
      <c r="AP130" s="19">
        <v>0</v>
      </c>
      <c r="AQ130" s="15">
        <v>0</v>
      </c>
      <c r="AR130" s="11">
        <v>25.5177082476302</v>
      </c>
      <c r="AS130" s="11">
        <v>29.5929003333333</v>
      </c>
      <c r="AT130" s="15">
        <v>1</v>
      </c>
      <c r="AU130" s="19">
        <v>13</v>
      </c>
      <c r="AV130" s="19">
        <v>13</v>
      </c>
      <c r="AW130" s="19">
        <v>0</v>
      </c>
      <c r="AX130" s="15">
        <v>0</v>
      </c>
    </row>
    <row r="131" spans="1:50">
      <c r="A131" s="3" t="s">
        <v>44</v>
      </c>
      <c r="B131" s="3" t="s">
        <v>56</v>
      </c>
      <c r="C131" s="4" t="s">
        <v>49</v>
      </c>
      <c r="D131" s="5" t="s">
        <v>50</v>
      </c>
      <c r="E131" s="7">
        <v>3</v>
      </c>
      <c r="F131" s="10">
        <v>5.621</v>
      </c>
      <c r="G131" s="10">
        <v>0.584</v>
      </c>
      <c r="H131" s="10">
        <v>9.625</v>
      </c>
      <c r="I131" s="10">
        <v>0.5491825332</v>
      </c>
      <c r="J131" s="14">
        <v>0.94038105</v>
      </c>
      <c r="K131" s="10">
        <v>-76.1006619262343</v>
      </c>
      <c r="L131" s="10">
        <v>10.2029524800555</v>
      </c>
      <c r="M131" s="14">
        <v>0.875471698113208</v>
      </c>
      <c r="N131" s="14">
        <v>0.877951482479784</v>
      </c>
      <c r="O131" s="14">
        <v>0.938836859752573</v>
      </c>
      <c r="P131" s="14">
        <v>0.941496126719852</v>
      </c>
      <c r="Q131" s="10">
        <v>24.861204610951</v>
      </c>
      <c r="R131" s="10">
        <v>58.836</v>
      </c>
      <c r="S131" s="14">
        <v>0.721902017291066</v>
      </c>
      <c r="T131" s="18">
        <v>24</v>
      </c>
      <c r="U131" s="18">
        <v>24</v>
      </c>
      <c r="V131" s="18">
        <v>0</v>
      </c>
      <c r="W131" s="14">
        <v>0</v>
      </c>
      <c r="X131" s="10">
        <v>16.5589458598726</v>
      </c>
      <c r="Y131" s="10">
        <v>34.696</v>
      </c>
      <c r="Z131" s="14">
        <v>0.963375796178344</v>
      </c>
      <c r="AA131" s="18">
        <v>23</v>
      </c>
      <c r="AB131" s="18">
        <v>23</v>
      </c>
      <c r="AC131" s="18">
        <v>0</v>
      </c>
      <c r="AD131" s="14">
        <v>0</v>
      </c>
      <c r="AE131" s="10">
        <v>-79.496947368421</v>
      </c>
      <c r="AF131" s="10">
        <v>8.50292105263158</v>
      </c>
      <c r="AG131" s="14">
        <v>0.823008849557522</v>
      </c>
      <c r="AH131" s="14">
        <v>0.825958702064897</v>
      </c>
      <c r="AI131" s="14">
        <v>0.917763157894737</v>
      </c>
      <c r="AJ131" s="14">
        <v>0.921052631578947</v>
      </c>
      <c r="AK131" s="10">
        <v>23.0254205607477</v>
      </c>
      <c r="AL131" s="10">
        <v>51.414</v>
      </c>
      <c r="AM131" s="14">
        <v>0.691588785046729</v>
      </c>
      <c r="AN131" s="18">
        <v>24</v>
      </c>
      <c r="AO131" s="18">
        <v>24</v>
      </c>
      <c r="AP131" s="18">
        <v>0</v>
      </c>
      <c r="AQ131" s="14">
        <v>0</v>
      </c>
      <c r="AR131" s="10">
        <v>16.0210606060606</v>
      </c>
      <c r="AS131" s="10">
        <v>38.325</v>
      </c>
      <c r="AT131" s="14">
        <v>0.95959595959596</v>
      </c>
      <c r="AU131" s="18">
        <v>23</v>
      </c>
      <c r="AV131" s="18">
        <v>23</v>
      </c>
      <c r="AW131" s="18">
        <v>0</v>
      </c>
      <c r="AX131" s="14">
        <v>0</v>
      </c>
    </row>
    <row r="132" spans="1:50">
      <c r="A132" s="3" t="s">
        <v>51</v>
      </c>
      <c r="B132" s="4" t="s">
        <v>62</v>
      </c>
      <c r="C132" s="4" t="s">
        <v>49</v>
      </c>
      <c r="D132" s="4" t="s">
        <v>50</v>
      </c>
      <c r="E132" s="4">
        <v>3</v>
      </c>
      <c r="F132" s="11">
        <v>2.2018492013216</v>
      </c>
      <c r="G132" s="11">
        <v>0.73</v>
      </c>
      <c r="H132" s="11">
        <f>F132/G132</f>
        <v>3.01623178263233</v>
      </c>
      <c r="I132" s="11">
        <v>0.7279991</v>
      </c>
      <c r="J132" s="15">
        <f>I132/G132</f>
        <v>0.99725904109589</v>
      </c>
      <c r="K132" s="11">
        <v>-76.1003592677256</v>
      </c>
      <c r="L132" s="11">
        <v>11.4283801262582</v>
      </c>
      <c r="M132" s="15" t="s">
        <v>54</v>
      </c>
      <c r="N132" s="15" t="s">
        <v>54</v>
      </c>
      <c r="O132" s="15" t="s">
        <v>54</v>
      </c>
      <c r="P132" s="15" t="s">
        <v>54</v>
      </c>
      <c r="Q132" s="11">
        <v>78.0682255722222</v>
      </c>
      <c r="R132" s="11">
        <v>106.253</v>
      </c>
      <c r="S132" s="15">
        <v>0.997222222222222</v>
      </c>
      <c r="T132" s="19">
        <v>12</v>
      </c>
      <c r="U132" s="19">
        <v>12</v>
      </c>
      <c r="V132" s="19">
        <v>0</v>
      </c>
      <c r="W132" s="15">
        <v>0</v>
      </c>
      <c r="X132" s="11">
        <v>27.4055625794872</v>
      </c>
      <c r="Y132" s="11">
        <v>31.2588</v>
      </c>
      <c r="Z132" s="15">
        <v>1</v>
      </c>
      <c r="AA132" s="19">
        <v>13</v>
      </c>
      <c r="AB132" s="19">
        <v>13</v>
      </c>
      <c r="AC132" s="19">
        <v>0</v>
      </c>
      <c r="AD132" s="15">
        <v>0</v>
      </c>
      <c r="AE132" s="11">
        <v>-76.2711283577229</v>
      </c>
      <c r="AF132" s="11">
        <v>11.6347425272955</v>
      </c>
      <c r="AG132" s="15" t="s">
        <v>54</v>
      </c>
      <c r="AH132" s="15" t="s">
        <v>54</v>
      </c>
      <c r="AI132" s="15" t="s">
        <v>54</v>
      </c>
      <c r="AJ132" s="15" t="s">
        <v>54</v>
      </c>
      <c r="AK132" s="11">
        <v>76.9695568897564</v>
      </c>
      <c r="AL132" s="11">
        <v>104.217499642857</v>
      </c>
      <c r="AM132" s="15">
        <v>1</v>
      </c>
      <c r="AN132" s="19">
        <v>12</v>
      </c>
      <c r="AO132" s="19">
        <v>12</v>
      </c>
      <c r="AP132" s="19">
        <v>0</v>
      </c>
      <c r="AQ132" s="15">
        <v>0</v>
      </c>
      <c r="AR132" s="11">
        <v>27.4271117342915</v>
      </c>
      <c r="AS132" s="11">
        <v>30.647437</v>
      </c>
      <c r="AT132" s="15">
        <v>1</v>
      </c>
      <c r="AU132" s="19">
        <v>13</v>
      </c>
      <c r="AV132" s="19">
        <v>13</v>
      </c>
      <c r="AW132" s="19">
        <v>0</v>
      </c>
      <c r="AX132" s="15">
        <v>0</v>
      </c>
    </row>
    <row r="133" spans="1:50">
      <c r="A133" s="3" t="s">
        <v>51</v>
      </c>
      <c r="B133" s="5" t="s">
        <v>63</v>
      </c>
      <c r="C133" s="5" t="s">
        <v>49</v>
      </c>
      <c r="D133" s="5" t="s">
        <v>64</v>
      </c>
      <c r="E133" s="5">
        <v>1</v>
      </c>
      <c r="F133" s="11">
        <v>211.059761717975</v>
      </c>
      <c r="G133" s="11">
        <v>4.96170166666667</v>
      </c>
      <c r="H133" s="11">
        <v>42.5377775402945</v>
      </c>
      <c r="I133" s="11">
        <v>4.86634972222222</v>
      </c>
      <c r="J133" s="15">
        <v>0.980782410783576</v>
      </c>
      <c r="K133" s="11">
        <v>-76.0859671043558</v>
      </c>
      <c r="L133" s="11">
        <v>11.5538903119047</v>
      </c>
      <c r="M133" s="15">
        <v>0.945123253487405</v>
      </c>
      <c r="N133" s="15">
        <v>0.946157391275024</v>
      </c>
      <c r="O133" s="15">
        <v>0.964430731114221</v>
      </c>
      <c r="P133" s="15">
        <v>0.965485994815444</v>
      </c>
      <c r="Q133" s="11">
        <v>60.9186395585168</v>
      </c>
      <c r="R133" s="11">
        <v>109.755</v>
      </c>
      <c r="S133" s="15">
        <v>0.953186558516802</v>
      </c>
      <c r="T133" s="19">
        <v>144</v>
      </c>
      <c r="U133" s="19">
        <v>144</v>
      </c>
      <c r="V133" s="19">
        <v>0</v>
      </c>
      <c r="W133" s="15">
        <v>0</v>
      </c>
      <c r="X133" s="11">
        <v>23.5017621673611</v>
      </c>
      <c r="Y133" s="11">
        <v>47.3486</v>
      </c>
      <c r="Z133" s="15">
        <v>0.98912037037037</v>
      </c>
      <c r="AA133" s="19">
        <v>144</v>
      </c>
      <c r="AB133" s="19">
        <v>144</v>
      </c>
      <c r="AC133" s="19">
        <v>0</v>
      </c>
      <c r="AD133" s="15">
        <v>0</v>
      </c>
      <c r="AE133" s="11">
        <v>-77.1315719414665</v>
      </c>
      <c r="AF133" s="11">
        <v>11.6428085584115</v>
      </c>
      <c r="AG133" s="15">
        <v>0.942692136828076</v>
      </c>
      <c r="AH133" s="15">
        <v>0.944358063083074</v>
      </c>
      <c r="AI133" s="15">
        <v>0.96961389079278</v>
      </c>
      <c r="AJ133" s="15">
        <v>0.971327393191684</v>
      </c>
      <c r="AK133" s="11">
        <v>58.3525394582188</v>
      </c>
      <c r="AL133" s="11">
        <v>104.4818415</v>
      </c>
      <c r="AM133" s="15">
        <v>0.954820680018631</v>
      </c>
      <c r="AN133" s="19">
        <v>144</v>
      </c>
      <c r="AO133" s="19">
        <v>144</v>
      </c>
      <c r="AP133" s="19">
        <v>0</v>
      </c>
      <c r="AQ133" s="15">
        <v>0</v>
      </c>
      <c r="AR133" s="11">
        <v>23.4511724673427</v>
      </c>
      <c r="AS133" s="11">
        <v>45.940594</v>
      </c>
      <c r="AT133" s="15">
        <v>0.991996233521657</v>
      </c>
      <c r="AU133" s="19">
        <v>144</v>
      </c>
      <c r="AV133" s="19">
        <v>144</v>
      </c>
      <c r="AW133" s="19">
        <v>0</v>
      </c>
      <c r="AX133" s="15">
        <v>0</v>
      </c>
    </row>
    <row r="134" spans="1:50">
      <c r="A134" s="3" t="s">
        <v>44</v>
      </c>
      <c r="B134" s="3" t="s">
        <v>56</v>
      </c>
      <c r="C134" s="4" t="s">
        <v>49</v>
      </c>
      <c r="D134" s="5" t="s">
        <v>50</v>
      </c>
      <c r="E134" s="7">
        <v>2</v>
      </c>
      <c r="F134" s="10">
        <v>5.621</v>
      </c>
      <c r="G134" s="10">
        <v>0.584</v>
      </c>
      <c r="H134" s="10">
        <v>9.625</v>
      </c>
      <c r="I134" s="10">
        <v>0.5674510168</v>
      </c>
      <c r="J134" s="14">
        <v>0.9716627</v>
      </c>
      <c r="K134" s="10">
        <v>-75.9533344054894</v>
      </c>
      <c r="L134" s="10">
        <v>7.84557017261713</v>
      </c>
      <c r="M134" s="14">
        <v>0.875871397357195</v>
      </c>
      <c r="N134" s="14">
        <v>0.875871397357195</v>
      </c>
      <c r="O134" s="14">
        <v>0.902541009971052</v>
      </c>
      <c r="P134" s="14">
        <v>0.902541009971052</v>
      </c>
      <c r="Q134" s="10">
        <v>20.8395817174515</v>
      </c>
      <c r="R134" s="10">
        <v>51.957</v>
      </c>
      <c r="S134" s="14">
        <v>0.57202216066482</v>
      </c>
      <c r="T134" s="18">
        <v>24</v>
      </c>
      <c r="U134" s="18">
        <v>24</v>
      </c>
      <c r="V134" s="18">
        <v>0</v>
      </c>
      <c r="W134" s="14">
        <v>0</v>
      </c>
      <c r="X134" s="10">
        <v>26.3182787356322</v>
      </c>
      <c r="Y134" s="10">
        <v>62.623</v>
      </c>
      <c r="Z134" s="14">
        <v>0.955459770114943</v>
      </c>
      <c r="AA134" s="18">
        <v>24</v>
      </c>
      <c r="AB134" s="18">
        <v>24</v>
      </c>
      <c r="AC134" s="18">
        <v>0</v>
      </c>
      <c r="AD134" s="14">
        <v>0</v>
      </c>
      <c r="AE134" s="10">
        <v>-78.0882761904762</v>
      </c>
      <c r="AF134" s="10">
        <v>7.28532063492064</v>
      </c>
      <c r="AG134" s="14">
        <v>0.856287425149701</v>
      </c>
      <c r="AH134" s="14">
        <v>0.856287425149701</v>
      </c>
      <c r="AI134" s="14">
        <v>0.907936507936508</v>
      </c>
      <c r="AJ134" s="14">
        <v>0.907936507936508</v>
      </c>
      <c r="AK134" s="10">
        <v>21.9277657657658</v>
      </c>
      <c r="AL134" s="10">
        <v>53.249</v>
      </c>
      <c r="AM134" s="14">
        <v>0.630630630630631</v>
      </c>
      <c r="AN134" s="18">
        <v>24</v>
      </c>
      <c r="AO134" s="18">
        <v>24</v>
      </c>
      <c r="AP134" s="18">
        <v>0</v>
      </c>
      <c r="AQ134" s="14">
        <v>0</v>
      </c>
      <c r="AR134" s="10">
        <v>26.3654561403509</v>
      </c>
      <c r="AS134" s="10">
        <v>59.148</v>
      </c>
      <c r="AT134" s="14">
        <v>0.956140350877193</v>
      </c>
      <c r="AU134" s="18">
        <v>24</v>
      </c>
      <c r="AV134" s="18">
        <v>24</v>
      </c>
      <c r="AW134" s="18">
        <v>0</v>
      </c>
      <c r="AX134" s="14">
        <v>0</v>
      </c>
    </row>
    <row r="135" spans="1:50">
      <c r="A135" s="3" t="s">
        <v>51</v>
      </c>
      <c r="B135" s="5" t="s">
        <v>63</v>
      </c>
      <c r="C135" s="5" t="s">
        <v>49</v>
      </c>
      <c r="D135" s="5" t="s">
        <v>64</v>
      </c>
      <c r="E135" s="5">
        <v>2</v>
      </c>
      <c r="F135" s="11">
        <v>210.97980468601</v>
      </c>
      <c r="G135" s="11">
        <v>4.95963722222222</v>
      </c>
      <c r="H135" s="11">
        <v>42.5393623026883</v>
      </c>
      <c r="I135" s="11">
        <v>4.85215472222222</v>
      </c>
      <c r="J135" s="15">
        <v>0.978328556064865</v>
      </c>
      <c r="K135" s="11">
        <v>-75.8560137985533</v>
      </c>
      <c r="L135" s="11">
        <v>13.792250323754</v>
      </c>
      <c r="M135" s="15">
        <v>0.948578962789335</v>
      </c>
      <c r="N135" s="15">
        <v>0.953075345398814</v>
      </c>
      <c r="O135" s="15">
        <v>0.969490002764213</v>
      </c>
      <c r="P135" s="15">
        <v>0.974085506311619</v>
      </c>
      <c r="Q135" s="11">
        <v>29.6710570135955</v>
      </c>
      <c r="R135" s="11">
        <v>60.7312</v>
      </c>
      <c r="S135" s="15">
        <v>0.810876426317067</v>
      </c>
      <c r="T135" s="19">
        <v>144</v>
      </c>
      <c r="U135" s="19">
        <v>140</v>
      </c>
      <c r="V135" s="19">
        <v>3</v>
      </c>
      <c r="W135" s="15">
        <v>0.0214285714285714</v>
      </c>
      <c r="X135" s="11">
        <v>14.1646716161306</v>
      </c>
      <c r="Y135" s="11">
        <v>25.92</v>
      </c>
      <c r="Z135" s="15">
        <v>0.978003784295175</v>
      </c>
      <c r="AA135" s="19">
        <v>144</v>
      </c>
      <c r="AB135" s="19">
        <v>144</v>
      </c>
      <c r="AC135" s="19">
        <v>0</v>
      </c>
      <c r="AD135" s="15">
        <v>0</v>
      </c>
      <c r="AE135" s="11">
        <v>-77.1890066639301</v>
      </c>
      <c r="AF135" s="11">
        <v>13.9623267511292</v>
      </c>
      <c r="AG135" s="15">
        <v>0.933267042315766</v>
      </c>
      <c r="AH135" s="15">
        <v>0.93901226383825</v>
      </c>
      <c r="AI135" s="15">
        <v>0.970807953108838</v>
      </c>
      <c r="AJ135" s="15">
        <v>0.976784277669233</v>
      </c>
      <c r="AK135" s="11">
        <v>30.9464098110115</v>
      </c>
      <c r="AL135" s="11">
        <v>63.036476</v>
      </c>
      <c r="AM135" s="15">
        <v>0.832942280619428</v>
      </c>
      <c r="AN135" s="19">
        <v>144</v>
      </c>
      <c r="AO135" s="19">
        <v>140</v>
      </c>
      <c r="AP135" s="19">
        <v>3</v>
      </c>
      <c r="AQ135" s="15">
        <v>0.0214285714285714</v>
      </c>
      <c r="AR135" s="11">
        <v>14.8759522095039</v>
      </c>
      <c r="AS135" s="11">
        <v>26.4793035</v>
      </c>
      <c r="AT135" s="15">
        <v>0.983124397299904</v>
      </c>
      <c r="AU135" s="19">
        <v>144</v>
      </c>
      <c r="AV135" s="19">
        <v>144</v>
      </c>
      <c r="AW135" s="19">
        <v>0</v>
      </c>
      <c r="AX135" s="15">
        <v>0</v>
      </c>
    </row>
    <row r="136" spans="1:50">
      <c r="A136" s="3" t="s">
        <v>51</v>
      </c>
      <c r="B136" s="5" t="s">
        <v>55</v>
      </c>
      <c r="C136" s="5" t="s">
        <v>46</v>
      </c>
      <c r="D136" s="5" t="s">
        <v>57</v>
      </c>
      <c r="E136" s="5">
        <v>3</v>
      </c>
      <c r="F136" s="11" t="s">
        <v>54</v>
      </c>
      <c r="G136" s="11">
        <v>0.376277777777778</v>
      </c>
      <c r="H136" s="11" t="s">
        <v>54</v>
      </c>
      <c r="I136" s="11">
        <v>0.376252777777778</v>
      </c>
      <c r="J136" s="15">
        <v>0.999933559722427</v>
      </c>
      <c r="K136" s="11">
        <v>-75.8129913977516</v>
      </c>
      <c r="L136" s="11">
        <v>13.3641802373227</v>
      </c>
      <c r="M136" s="15">
        <v>0.996747486694264</v>
      </c>
      <c r="N136" s="15">
        <v>0.996747486694264</v>
      </c>
      <c r="O136" s="15">
        <v>0.996747486694264</v>
      </c>
      <c r="P136" s="15">
        <v>0.996747486694264</v>
      </c>
      <c r="Q136" s="11">
        <v>51.6091322566667</v>
      </c>
      <c r="R136" s="11">
        <v>70.9199</v>
      </c>
      <c r="S136" s="15">
        <v>0.86</v>
      </c>
      <c r="T136" s="19">
        <v>10</v>
      </c>
      <c r="U136" s="19">
        <v>10</v>
      </c>
      <c r="V136" s="19">
        <v>0</v>
      </c>
      <c r="W136" s="15">
        <v>0</v>
      </c>
      <c r="X136" s="11">
        <v>26.8270993566667</v>
      </c>
      <c r="Y136" s="11">
        <v>31.1334</v>
      </c>
      <c r="Z136" s="15">
        <v>0.996666666666667</v>
      </c>
      <c r="AA136" s="19">
        <v>10</v>
      </c>
      <c r="AB136" s="19">
        <v>10</v>
      </c>
      <c r="AC136" s="19">
        <v>0</v>
      </c>
      <c r="AD136" s="15">
        <v>0</v>
      </c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</row>
    <row r="137" spans="1:50">
      <c r="A137" s="3" t="s">
        <v>44</v>
      </c>
      <c r="B137" s="3" t="s">
        <v>45</v>
      </c>
      <c r="C137" s="4" t="s">
        <v>49</v>
      </c>
      <c r="D137" s="5" t="s">
        <v>50</v>
      </c>
      <c r="E137" s="7">
        <v>1</v>
      </c>
      <c r="F137" s="10">
        <v>4.84</v>
      </c>
      <c r="G137" s="10">
        <v>1.009</v>
      </c>
      <c r="H137" s="10">
        <v>4.79682854311199</v>
      </c>
      <c r="I137" s="10">
        <v>0.9402395761</v>
      </c>
      <c r="J137" s="14">
        <v>0.9318529</v>
      </c>
      <c r="K137" s="10">
        <v>-75.7757455386257</v>
      </c>
      <c r="L137" s="10">
        <v>8.0518301416968</v>
      </c>
      <c r="M137" s="14">
        <v>0.907498480411118</v>
      </c>
      <c r="N137" s="14">
        <v>0.907498480411118</v>
      </c>
      <c r="O137" s="14">
        <v>0.973676409557123</v>
      </c>
      <c r="P137" s="14">
        <v>0.973676409557123</v>
      </c>
      <c r="Q137" s="10">
        <v>41.9622903752039</v>
      </c>
      <c r="R137" s="10">
        <v>69.383</v>
      </c>
      <c r="S137" s="14">
        <v>0.953507340946166</v>
      </c>
      <c r="T137" s="18">
        <v>43</v>
      </c>
      <c r="U137" s="18">
        <v>43</v>
      </c>
      <c r="V137" s="18">
        <v>0</v>
      </c>
      <c r="W137" s="14">
        <v>0</v>
      </c>
      <c r="X137" s="10">
        <v>35.1972116040956</v>
      </c>
      <c r="Y137" s="10">
        <v>51.904</v>
      </c>
      <c r="Z137" s="14">
        <v>0.997440273037543</v>
      </c>
      <c r="AA137" s="18">
        <v>42</v>
      </c>
      <c r="AB137" s="18">
        <v>42</v>
      </c>
      <c r="AC137" s="18">
        <v>0</v>
      </c>
      <c r="AD137" s="14">
        <v>0</v>
      </c>
      <c r="AE137" s="10">
        <v>-76.489253968254</v>
      </c>
      <c r="AF137" s="10">
        <v>7.60028253968254</v>
      </c>
      <c r="AG137" s="14">
        <v>0.911764705882353</v>
      </c>
      <c r="AH137" s="14">
        <v>0.911764705882353</v>
      </c>
      <c r="AI137" s="14">
        <v>0.984126984126984</v>
      </c>
      <c r="AJ137" s="14">
        <v>0.984126984126984</v>
      </c>
      <c r="AK137" s="10">
        <v>42.2468034188034</v>
      </c>
      <c r="AL137" s="10">
        <v>66.582</v>
      </c>
      <c r="AM137" s="14">
        <v>0.974358974358974</v>
      </c>
      <c r="AN137" s="18">
        <v>43</v>
      </c>
      <c r="AO137" s="18">
        <v>43</v>
      </c>
      <c r="AP137" s="18">
        <v>0</v>
      </c>
      <c r="AQ137" s="14">
        <v>0</v>
      </c>
      <c r="AR137" s="10">
        <v>33.9665172413793</v>
      </c>
      <c r="AS137" s="10">
        <v>48.428</v>
      </c>
      <c r="AT137" s="14">
        <v>1</v>
      </c>
      <c r="AU137" s="18">
        <v>42</v>
      </c>
      <c r="AV137" s="18">
        <v>42</v>
      </c>
      <c r="AW137" s="18">
        <v>0</v>
      </c>
      <c r="AX137" s="14">
        <v>0</v>
      </c>
    </row>
    <row r="138" spans="1:50">
      <c r="A138" s="3" t="s">
        <v>44</v>
      </c>
      <c r="B138" s="3" t="s">
        <v>48</v>
      </c>
      <c r="C138" s="4" t="s">
        <v>49</v>
      </c>
      <c r="D138" s="5" t="s">
        <v>50</v>
      </c>
      <c r="E138" s="7">
        <v>3</v>
      </c>
      <c r="F138" s="10">
        <v>3.658</v>
      </c>
      <c r="G138" s="10">
        <v>1.002</v>
      </c>
      <c r="H138" s="10">
        <v>3.65069860279441</v>
      </c>
      <c r="I138" s="10">
        <v>0.9992662434</v>
      </c>
      <c r="J138" s="14">
        <v>0.9972717</v>
      </c>
      <c r="K138" s="10">
        <v>-75.2466412224903</v>
      </c>
      <c r="L138" s="10">
        <v>12.2438720479637</v>
      </c>
      <c r="M138" s="14">
        <v>0.9895074322355</v>
      </c>
      <c r="N138" s="14">
        <v>0.991766248907024</v>
      </c>
      <c r="O138" s="14">
        <v>0.99290780141844</v>
      </c>
      <c r="P138" s="14">
        <v>0.995174380346567</v>
      </c>
      <c r="Q138" s="10">
        <v>49.3262684931507</v>
      </c>
      <c r="R138" s="10">
        <v>76.399</v>
      </c>
      <c r="S138" s="14">
        <v>0.975342465753425</v>
      </c>
      <c r="T138" s="18">
        <v>36</v>
      </c>
      <c r="U138" s="18">
        <v>36</v>
      </c>
      <c r="V138" s="18">
        <v>0</v>
      </c>
      <c r="W138" s="14">
        <v>0</v>
      </c>
      <c r="X138" s="10">
        <v>27.2285843101894</v>
      </c>
      <c r="Y138" s="10">
        <v>31.722</v>
      </c>
      <c r="Z138" s="14">
        <v>1</v>
      </c>
      <c r="AA138" s="18">
        <v>37</v>
      </c>
      <c r="AB138" s="18">
        <v>37</v>
      </c>
      <c r="AC138" s="18">
        <v>0</v>
      </c>
      <c r="AD138" s="14">
        <v>0</v>
      </c>
      <c r="AE138" s="10">
        <v>-76.3436153846154</v>
      </c>
      <c r="AF138" s="10">
        <v>12.2243891402715</v>
      </c>
      <c r="AG138" s="14">
        <v>0.977777777777778</v>
      </c>
      <c r="AH138" s="14">
        <v>0.977777777777778</v>
      </c>
      <c r="AI138" s="14">
        <v>0.995475113122172</v>
      </c>
      <c r="AJ138" s="14">
        <v>0.995475113122172</v>
      </c>
      <c r="AK138" s="10">
        <v>48.8676705882353</v>
      </c>
      <c r="AL138" s="10">
        <v>72.923</v>
      </c>
      <c r="AM138" s="14">
        <v>1</v>
      </c>
      <c r="AN138" s="18">
        <v>36</v>
      </c>
      <c r="AO138" s="18">
        <v>36</v>
      </c>
      <c r="AP138" s="18">
        <v>0</v>
      </c>
      <c r="AQ138" s="14">
        <v>0</v>
      </c>
      <c r="AR138" s="10">
        <v>27.1911279069767</v>
      </c>
      <c r="AS138" s="10">
        <v>30.783</v>
      </c>
      <c r="AT138" s="14">
        <v>1</v>
      </c>
      <c r="AU138" s="18">
        <v>37</v>
      </c>
      <c r="AV138" s="18">
        <v>37</v>
      </c>
      <c r="AW138" s="18">
        <v>0</v>
      </c>
      <c r="AX138" s="14">
        <v>0</v>
      </c>
    </row>
    <row r="139" spans="1:50">
      <c r="A139" s="3" t="s">
        <v>44</v>
      </c>
      <c r="B139" s="7" t="s">
        <v>60</v>
      </c>
      <c r="C139" s="4" t="s">
        <v>49</v>
      </c>
      <c r="D139" s="4" t="s">
        <v>64</v>
      </c>
      <c r="E139" s="4">
        <v>2</v>
      </c>
      <c r="F139" s="10">
        <v>220.966</v>
      </c>
      <c r="G139" s="10">
        <v>5.74</v>
      </c>
      <c r="H139" s="10">
        <v>38.495818815331</v>
      </c>
      <c r="I139" s="10">
        <v>5.41365876429</v>
      </c>
      <c r="J139" s="14">
        <v>0.943151185328671</v>
      </c>
      <c r="K139" s="10">
        <v>-75.203084535114</v>
      </c>
      <c r="L139" s="10">
        <v>11.9618352460265</v>
      </c>
      <c r="M139" s="14">
        <v>0.880136337814808</v>
      </c>
      <c r="N139" s="14">
        <v>0.886799375118349</v>
      </c>
      <c r="O139" s="14">
        <v>0.94409180927233</v>
      </c>
      <c r="P139" s="14">
        <v>0.95123901894074</v>
      </c>
      <c r="Q139" s="10">
        <v>29.5567669305189</v>
      </c>
      <c r="R139" s="10">
        <v>64.059</v>
      </c>
      <c r="S139" s="14">
        <v>0.753444737613603</v>
      </c>
      <c r="T139" s="18">
        <v>239</v>
      </c>
      <c r="U139" s="18">
        <v>239</v>
      </c>
      <c r="V139" s="18">
        <v>0</v>
      </c>
      <c r="W139" s="14">
        <v>0</v>
      </c>
      <c r="X139" s="10">
        <v>16.5779943223177</v>
      </c>
      <c r="Y139" s="10">
        <v>23.411</v>
      </c>
      <c r="Z139" s="14">
        <v>0.948318532537487</v>
      </c>
      <c r="AA139" s="18">
        <v>240</v>
      </c>
      <c r="AB139" s="18">
        <v>240</v>
      </c>
      <c r="AC139" s="18">
        <v>0</v>
      </c>
      <c r="AD139" s="14">
        <v>0</v>
      </c>
      <c r="AE139" s="10">
        <v>-75.2234619681994</v>
      </c>
      <c r="AF139" s="10">
        <v>10.9918330468414</v>
      </c>
      <c r="AG139" s="14">
        <v>0.841713950303267</v>
      </c>
      <c r="AH139" s="14">
        <v>0.851105458814322</v>
      </c>
      <c r="AI139" s="14">
        <v>0.924366136656639</v>
      </c>
      <c r="AJ139" s="14">
        <v>0.93467984529437</v>
      </c>
      <c r="AK139" s="10">
        <v>24.9858828769383</v>
      </c>
      <c r="AL139" s="10">
        <v>56.122</v>
      </c>
      <c r="AM139" s="14">
        <v>0.702408446057407</v>
      </c>
      <c r="AN139" s="18">
        <v>239</v>
      </c>
      <c r="AO139" s="18">
        <v>239</v>
      </c>
      <c r="AP139" s="18">
        <v>0</v>
      </c>
      <c r="AQ139" s="14">
        <v>0</v>
      </c>
      <c r="AR139" s="10">
        <v>15.085249842072</v>
      </c>
      <c r="AS139" s="10">
        <v>22.889</v>
      </c>
      <c r="AT139" s="14">
        <v>0.920720151610865</v>
      </c>
      <c r="AU139" s="18">
        <v>240</v>
      </c>
      <c r="AV139" s="18">
        <v>240</v>
      </c>
      <c r="AW139" s="18">
        <v>0</v>
      </c>
      <c r="AX139" s="14">
        <v>0</v>
      </c>
    </row>
    <row r="140" spans="1:50">
      <c r="A140" s="3" t="s">
        <v>51</v>
      </c>
      <c r="B140" s="5" t="s">
        <v>63</v>
      </c>
      <c r="C140" s="5" t="s">
        <v>49</v>
      </c>
      <c r="D140" s="5" t="s">
        <v>64</v>
      </c>
      <c r="E140" s="5">
        <v>3</v>
      </c>
      <c r="F140" s="11">
        <v>211.005705326974</v>
      </c>
      <c r="G140" s="11">
        <v>4.96068555555556</v>
      </c>
      <c r="H140" s="11">
        <v>42.5355937125798</v>
      </c>
      <c r="I140" s="11">
        <v>4.85295277777778</v>
      </c>
      <c r="J140" s="15">
        <v>0.978282683598615</v>
      </c>
      <c r="K140" s="11">
        <v>-75.1372349617364</v>
      </c>
      <c r="L140" s="11">
        <v>13.6668778045554</v>
      </c>
      <c r="M140" s="15">
        <v>0.94759712262611</v>
      </c>
      <c r="N140" s="15">
        <v>0.950524028773739</v>
      </c>
      <c r="O140" s="15">
        <v>0.969389870327291</v>
      </c>
      <c r="P140" s="15">
        <v>0.972384089181657</v>
      </c>
      <c r="Q140" s="11">
        <v>30.0420652456019</v>
      </c>
      <c r="R140" s="11">
        <v>63.5458</v>
      </c>
      <c r="S140" s="15">
        <v>0.794675925925926</v>
      </c>
      <c r="T140" s="19">
        <v>144</v>
      </c>
      <c r="U140" s="19">
        <v>144</v>
      </c>
      <c r="V140" s="19">
        <v>0</v>
      </c>
      <c r="W140" s="15">
        <v>0</v>
      </c>
      <c r="X140" s="11">
        <v>13.4691570977531</v>
      </c>
      <c r="Y140" s="11">
        <v>24.5418</v>
      </c>
      <c r="Z140" s="15">
        <v>0.967801714153347</v>
      </c>
      <c r="AA140" s="19">
        <v>144</v>
      </c>
      <c r="AB140" s="19">
        <v>144</v>
      </c>
      <c r="AC140" s="19">
        <v>0</v>
      </c>
      <c r="AD140" s="15">
        <v>0</v>
      </c>
      <c r="AE140" s="11">
        <v>-76.1140286532935</v>
      </c>
      <c r="AF140" s="11">
        <v>13.8630856249858</v>
      </c>
      <c r="AG140" s="15">
        <v>0.931752714380678</v>
      </c>
      <c r="AH140" s="15">
        <v>0.936184356304011</v>
      </c>
      <c r="AI140" s="15">
        <v>0.971131639722864</v>
      </c>
      <c r="AJ140" s="15">
        <v>0.975750577367205</v>
      </c>
      <c r="AK140" s="11">
        <v>30.1746063346802</v>
      </c>
      <c r="AL140" s="11">
        <v>61.3395105</v>
      </c>
      <c r="AM140" s="15">
        <v>0.8140085186938</v>
      </c>
      <c r="AN140" s="19">
        <v>144</v>
      </c>
      <c r="AO140" s="19">
        <v>144</v>
      </c>
      <c r="AP140" s="19">
        <v>0</v>
      </c>
      <c r="AQ140" s="15">
        <v>0</v>
      </c>
      <c r="AR140" s="11">
        <v>13.3479516735539</v>
      </c>
      <c r="AS140" s="11">
        <v>23.68</v>
      </c>
      <c r="AT140" s="15">
        <v>0.977819726285984</v>
      </c>
      <c r="AU140" s="19">
        <v>144</v>
      </c>
      <c r="AV140" s="19">
        <v>144</v>
      </c>
      <c r="AW140" s="19">
        <v>0</v>
      </c>
      <c r="AX140" s="15">
        <v>0</v>
      </c>
    </row>
    <row r="141" spans="1:50">
      <c r="A141" s="3" t="s">
        <v>44</v>
      </c>
      <c r="B141" s="3" t="s">
        <v>45</v>
      </c>
      <c r="C141" s="4" t="s">
        <v>49</v>
      </c>
      <c r="D141" s="5" t="s">
        <v>50</v>
      </c>
      <c r="E141" s="7">
        <v>1</v>
      </c>
      <c r="F141" s="10">
        <v>2.577</v>
      </c>
      <c r="G141" s="10">
        <v>0.549</v>
      </c>
      <c r="H141" s="10">
        <v>4.69398907103825</v>
      </c>
      <c r="I141" s="10">
        <v>0.5476228335</v>
      </c>
      <c r="J141" s="14">
        <v>0.9974915</v>
      </c>
      <c r="K141" s="10">
        <v>-75.0925111586671</v>
      </c>
      <c r="L141" s="10">
        <v>11.1793045959442</v>
      </c>
      <c r="M141" s="14">
        <v>0.96624300965938</v>
      </c>
      <c r="N141" s="14">
        <v>0.96624300965938</v>
      </c>
      <c r="O141" s="14">
        <v>0.968409253031693</v>
      </c>
      <c r="P141" s="14">
        <v>0.968409253031693</v>
      </c>
      <c r="Q141" s="10">
        <v>48.606346740638</v>
      </c>
      <c r="R141" s="10">
        <v>66.339</v>
      </c>
      <c r="S141" s="14">
        <v>0.990291262135922</v>
      </c>
      <c r="T141" s="18">
        <v>24</v>
      </c>
      <c r="U141" s="18">
        <v>24</v>
      </c>
      <c r="V141" s="18">
        <v>0</v>
      </c>
      <c r="W141" s="14">
        <v>0</v>
      </c>
      <c r="X141" s="10">
        <v>30.209747826087</v>
      </c>
      <c r="Y141" s="10">
        <v>44.956</v>
      </c>
      <c r="Z141" s="14">
        <v>1</v>
      </c>
      <c r="AA141" s="18">
        <v>23</v>
      </c>
      <c r="AB141" s="18">
        <v>23</v>
      </c>
      <c r="AC141" s="18">
        <v>0</v>
      </c>
      <c r="AD141" s="14">
        <v>0</v>
      </c>
      <c r="AE141" s="10">
        <v>-75.6464647058824</v>
      </c>
      <c r="AF141" s="10">
        <v>10.7638470588235</v>
      </c>
      <c r="AG141" s="14">
        <v>0.994152046783626</v>
      </c>
      <c r="AH141" s="14">
        <v>0.994152046783626</v>
      </c>
      <c r="AI141" s="14">
        <v>1</v>
      </c>
      <c r="AJ141" s="14">
        <v>1</v>
      </c>
      <c r="AK141" s="10">
        <v>49.370737704918</v>
      </c>
      <c r="AL141" s="10">
        <v>64.6</v>
      </c>
      <c r="AM141" s="14">
        <v>1</v>
      </c>
      <c r="AN141" s="18">
        <v>24</v>
      </c>
      <c r="AO141" s="18">
        <v>24</v>
      </c>
      <c r="AP141" s="18">
        <v>0</v>
      </c>
      <c r="AQ141" s="14">
        <v>0</v>
      </c>
      <c r="AR141" s="10">
        <v>29.7026349206349</v>
      </c>
      <c r="AS141" s="10">
        <v>44.108</v>
      </c>
      <c r="AT141" s="14">
        <v>1</v>
      </c>
      <c r="AU141" s="18">
        <v>23</v>
      </c>
      <c r="AV141" s="18">
        <v>23</v>
      </c>
      <c r="AW141" s="18">
        <v>0</v>
      </c>
      <c r="AX141" s="14">
        <v>0</v>
      </c>
    </row>
    <row r="142" spans="1:50">
      <c r="A142" s="3" t="s">
        <v>44</v>
      </c>
      <c r="B142" s="3" t="s">
        <v>56</v>
      </c>
      <c r="C142" s="4" t="s">
        <v>49</v>
      </c>
      <c r="D142" s="5" t="s">
        <v>61</v>
      </c>
      <c r="E142" s="7">
        <v>1</v>
      </c>
      <c r="F142" s="10">
        <v>6.101</v>
      </c>
      <c r="G142" s="10">
        <v>0.568</v>
      </c>
      <c r="H142" s="10">
        <v>10.7411971830986</v>
      </c>
      <c r="I142" s="10">
        <v>0.55585629064</v>
      </c>
      <c r="J142" s="14">
        <v>0.97862023</v>
      </c>
      <c r="K142" s="10">
        <v>-75.0766108638479</v>
      </c>
      <c r="L142" s="10">
        <v>5.26292433744689</v>
      </c>
      <c r="M142" s="14">
        <v>0.89616945461744</v>
      </c>
      <c r="N142" s="14">
        <v>0.89616945461744</v>
      </c>
      <c r="O142" s="14">
        <v>0.91584058264212</v>
      </c>
      <c r="P142" s="14">
        <v>0.91584058264212</v>
      </c>
      <c r="Q142" s="10">
        <v>49.8109122302158</v>
      </c>
      <c r="R142" s="10">
        <v>71.278</v>
      </c>
      <c r="S142" s="14">
        <v>0.976978417266187</v>
      </c>
      <c r="T142" s="18">
        <v>24</v>
      </c>
      <c r="U142" s="18">
        <v>24</v>
      </c>
      <c r="V142" s="18">
        <v>0</v>
      </c>
      <c r="W142" s="14">
        <v>0</v>
      </c>
      <c r="X142" s="10">
        <v>34.853697740113</v>
      </c>
      <c r="Y142" s="10">
        <v>55.001</v>
      </c>
      <c r="Z142" s="14">
        <v>0.977401129943503</v>
      </c>
      <c r="AA142" s="18">
        <v>24</v>
      </c>
      <c r="AB142" s="18">
        <v>24</v>
      </c>
      <c r="AC142" s="18">
        <v>0</v>
      </c>
      <c r="AD142" s="14">
        <v>0</v>
      </c>
      <c r="AE142" s="10">
        <v>-75.1658425414365</v>
      </c>
      <c r="AF142" s="10">
        <v>4.83459944751381</v>
      </c>
      <c r="AG142" s="14">
        <v>0.912234042553192</v>
      </c>
      <c r="AH142" s="14">
        <v>0.912234042553192</v>
      </c>
      <c r="AI142" s="14">
        <v>0.947513812154696</v>
      </c>
      <c r="AJ142" s="14">
        <v>0.947513812154696</v>
      </c>
      <c r="AK142" s="10">
        <v>47.562407079646</v>
      </c>
      <c r="AL142" s="10">
        <v>64.486</v>
      </c>
      <c r="AM142" s="14">
        <v>1</v>
      </c>
      <c r="AN142" s="18">
        <v>24</v>
      </c>
      <c r="AO142" s="18">
        <v>24</v>
      </c>
      <c r="AP142" s="18">
        <v>0</v>
      </c>
      <c r="AQ142" s="14">
        <v>0</v>
      </c>
      <c r="AR142" s="10">
        <v>33.936030075188</v>
      </c>
      <c r="AS142" s="10">
        <v>50.426</v>
      </c>
      <c r="AT142" s="14">
        <v>1</v>
      </c>
      <c r="AU142" s="18">
        <v>24</v>
      </c>
      <c r="AV142" s="18">
        <v>24</v>
      </c>
      <c r="AW142" s="18">
        <v>0</v>
      </c>
      <c r="AX142" s="14">
        <v>0</v>
      </c>
    </row>
    <row r="143" spans="1:50">
      <c r="A143" s="3" t="s">
        <v>51</v>
      </c>
      <c r="B143" s="5" t="s">
        <v>63</v>
      </c>
      <c r="C143" s="6" t="s">
        <v>49</v>
      </c>
      <c r="D143" s="6" t="s">
        <v>61</v>
      </c>
      <c r="E143" s="5">
        <v>1</v>
      </c>
      <c r="F143" s="11">
        <v>2.23328234964609</v>
      </c>
      <c r="G143" s="11">
        <v>0.601594444444444</v>
      </c>
      <c r="H143" s="11">
        <v>3.71227222968867</v>
      </c>
      <c r="I143" s="11">
        <v>0.597297222222222</v>
      </c>
      <c r="J143" s="15">
        <v>0.99285694497031</v>
      </c>
      <c r="K143" s="11">
        <v>-75.0197666787487</v>
      </c>
      <c r="L143" s="11">
        <v>9.42547429505582</v>
      </c>
      <c r="M143" s="15">
        <v>0.984529874942103</v>
      </c>
      <c r="N143" s="15">
        <v>0.984622510421491</v>
      </c>
      <c r="O143" s="15">
        <v>0.9927143657762</v>
      </c>
      <c r="P143" s="15">
        <v>0.992807771343172</v>
      </c>
      <c r="Q143" s="11">
        <v>91.6770309647059</v>
      </c>
      <c r="R143" s="11">
        <v>138.096</v>
      </c>
      <c r="S143" s="15">
        <v>0.998039215686275</v>
      </c>
      <c r="T143" s="19">
        <v>17</v>
      </c>
      <c r="U143" s="19">
        <v>17</v>
      </c>
      <c r="V143" s="19">
        <v>0</v>
      </c>
      <c r="W143" s="15">
        <v>0</v>
      </c>
      <c r="X143" s="11">
        <v>28.0396894833333</v>
      </c>
      <c r="Y143" s="11">
        <v>59.1409</v>
      </c>
      <c r="Z143" s="15">
        <v>0.998148148148148</v>
      </c>
      <c r="AA143" s="19">
        <v>18</v>
      </c>
      <c r="AB143" s="19">
        <v>18</v>
      </c>
      <c r="AC143" s="19">
        <v>0</v>
      </c>
      <c r="AD143" s="15">
        <v>0</v>
      </c>
      <c r="AE143" s="11">
        <v>-75.1514547081184</v>
      </c>
      <c r="AF143" s="11">
        <v>9.25772723023439</v>
      </c>
      <c r="AG143" s="15">
        <v>0.973214285714286</v>
      </c>
      <c r="AH143" s="15">
        <v>0.973214285714286</v>
      </c>
      <c r="AI143" s="15">
        <v>1</v>
      </c>
      <c r="AJ143" s="15">
        <v>1</v>
      </c>
      <c r="AK143" s="11">
        <v>91.9702370545261</v>
      </c>
      <c r="AL143" s="11">
        <v>132.344711625</v>
      </c>
      <c r="AM143" s="15">
        <v>1</v>
      </c>
      <c r="AN143" s="19">
        <v>17</v>
      </c>
      <c r="AO143" s="19">
        <v>17</v>
      </c>
      <c r="AP143" s="19">
        <v>0</v>
      </c>
      <c r="AQ143" s="15">
        <v>0</v>
      </c>
      <c r="AR143" s="11">
        <v>28.0476205130357</v>
      </c>
      <c r="AS143" s="11">
        <v>58.0831215</v>
      </c>
      <c r="AT143" s="15">
        <v>1</v>
      </c>
      <c r="AU143" s="19">
        <v>18</v>
      </c>
      <c r="AV143" s="19">
        <v>18</v>
      </c>
      <c r="AW143" s="19">
        <v>0</v>
      </c>
      <c r="AX143" s="15">
        <v>0</v>
      </c>
    </row>
    <row r="144" spans="1:50">
      <c r="A144" s="3" t="s">
        <v>44</v>
      </c>
      <c r="B144" s="7" t="s">
        <v>60</v>
      </c>
      <c r="C144" s="4" t="s">
        <v>49</v>
      </c>
      <c r="D144" s="5" t="s">
        <v>50</v>
      </c>
      <c r="E144" s="7">
        <v>3</v>
      </c>
      <c r="F144" s="10">
        <v>2.611</v>
      </c>
      <c r="G144" s="10">
        <v>0.639</v>
      </c>
      <c r="H144" s="10">
        <v>4.08607198748044</v>
      </c>
      <c r="I144" s="10">
        <v>0.63312072075</v>
      </c>
      <c r="J144" s="14">
        <v>0.99079925</v>
      </c>
      <c r="K144" s="10">
        <v>-75.009398694187</v>
      </c>
      <c r="L144" s="10">
        <v>14.727200926706</v>
      </c>
      <c r="M144" s="14">
        <v>0.98550422358953</v>
      </c>
      <c r="N144" s="14">
        <v>0.985712795911982</v>
      </c>
      <c r="O144" s="14">
        <v>0.995155855096883</v>
      </c>
      <c r="P144" s="14">
        <v>0.995366470092671</v>
      </c>
      <c r="Q144" s="10">
        <v>31.0288243902439</v>
      </c>
      <c r="R144" s="10">
        <v>57.427</v>
      </c>
      <c r="S144" s="14">
        <v>0.874390243902439</v>
      </c>
      <c r="T144" s="18">
        <v>27</v>
      </c>
      <c r="U144" s="18">
        <v>27</v>
      </c>
      <c r="V144" s="18">
        <v>0</v>
      </c>
      <c r="W144" s="14">
        <v>0</v>
      </c>
      <c r="X144" s="10">
        <v>18.3606987341772</v>
      </c>
      <c r="Y144" s="10">
        <v>23.151</v>
      </c>
      <c r="Z144" s="14">
        <v>0.99620253164557</v>
      </c>
      <c r="AA144" s="18">
        <v>27</v>
      </c>
      <c r="AB144" s="18">
        <v>27</v>
      </c>
      <c r="AC144" s="18">
        <v>0</v>
      </c>
      <c r="AD144" s="14">
        <v>0</v>
      </c>
      <c r="AE144" s="10">
        <v>-74.9737590361446</v>
      </c>
      <c r="AF144" s="10">
        <v>14.6319578313253</v>
      </c>
      <c r="AG144" s="14">
        <v>0.982248520710059</v>
      </c>
      <c r="AH144" s="14">
        <v>0.982248520710059</v>
      </c>
      <c r="AI144" s="14">
        <v>1</v>
      </c>
      <c r="AJ144" s="14">
        <v>1</v>
      </c>
      <c r="AK144" s="10">
        <v>30.0822424242424</v>
      </c>
      <c r="AL144" s="10">
        <v>55.619</v>
      </c>
      <c r="AM144" s="14">
        <v>0.878787878787879</v>
      </c>
      <c r="AN144" s="18">
        <v>27</v>
      </c>
      <c r="AO144" s="18">
        <v>27</v>
      </c>
      <c r="AP144" s="18">
        <v>0</v>
      </c>
      <c r="AQ144" s="14">
        <v>0</v>
      </c>
      <c r="AR144" s="10">
        <v>18.5585652173913</v>
      </c>
      <c r="AS144" s="10">
        <v>23.097</v>
      </c>
      <c r="AT144" s="14">
        <v>1</v>
      </c>
      <c r="AU144" s="18">
        <v>27</v>
      </c>
      <c r="AV144" s="18">
        <v>27</v>
      </c>
      <c r="AW144" s="18">
        <v>0</v>
      </c>
      <c r="AX144" s="14">
        <v>0</v>
      </c>
    </row>
    <row r="145" spans="1:50">
      <c r="A145" s="3" t="s">
        <v>44</v>
      </c>
      <c r="B145" s="3" t="s">
        <v>45</v>
      </c>
      <c r="C145" s="4" t="s">
        <v>49</v>
      </c>
      <c r="D145" s="5" t="s">
        <v>50</v>
      </c>
      <c r="E145" s="7">
        <v>3</v>
      </c>
      <c r="F145" s="10">
        <v>2.564</v>
      </c>
      <c r="G145" s="10">
        <v>0.826</v>
      </c>
      <c r="H145" s="10">
        <v>3.10411622276029</v>
      </c>
      <c r="I145" s="10">
        <v>0.8254467452</v>
      </c>
      <c r="J145" s="14">
        <v>0.9993302</v>
      </c>
      <c r="K145" s="10">
        <v>-74.7440964193119</v>
      </c>
      <c r="L145" s="10">
        <v>9.46094022843529</v>
      </c>
      <c r="M145" s="14">
        <v>0.989559246023404</v>
      </c>
      <c r="N145" s="14">
        <v>0.989559246023404</v>
      </c>
      <c r="O145" s="14">
        <v>0.989559246023404</v>
      </c>
      <c r="P145" s="14">
        <v>0.989559246023404</v>
      </c>
      <c r="Q145" s="10">
        <v>39.0999561643836</v>
      </c>
      <c r="R145" s="10">
        <v>68.437</v>
      </c>
      <c r="S145" s="14">
        <v>0.956164383561644</v>
      </c>
      <c r="T145" s="18">
        <v>24</v>
      </c>
      <c r="U145" s="18">
        <v>24</v>
      </c>
      <c r="V145" s="18">
        <v>0</v>
      </c>
      <c r="W145" s="14">
        <v>0</v>
      </c>
      <c r="X145" s="10">
        <v>13.9228335535007</v>
      </c>
      <c r="Y145" s="10">
        <v>15.858</v>
      </c>
      <c r="Z145" s="14">
        <v>0.961690885072655</v>
      </c>
      <c r="AA145" s="18">
        <v>26</v>
      </c>
      <c r="AB145" s="18">
        <v>26</v>
      </c>
      <c r="AC145" s="18">
        <v>0</v>
      </c>
      <c r="AD145" s="14">
        <v>0</v>
      </c>
      <c r="AE145" s="10">
        <v>-75.2501306818182</v>
      </c>
      <c r="AF145" s="10">
        <v>8.89059090909091</v>
      </c>
      <c r="AG145" s="14">
        <v>1</v>
      </c>
      <c r="AH145" s="14">
        <v>1</v>
      </c>
      <c r="AI145" s="14">
        <v>1</v>
      </c>
      <c r="AJ145" s="14">
        <v>1</v>
      </c>
      <c r="AK145" s="10">
        <v>38.8784545454545</v>
      </c>
      <c r="AL145" s="10">
        <v>66.206</v>
      </c>
      <c r="AM145" s="14">
        <v>1</v>
      </c>
      <c r="AN145" s="18">
        <v>24</v>
      </c>
      <c r="AO145" s="18">
        <v>24</v>
      </c>
      <c r="AP145" s="18">
        <v>0</v>
      </c>
      <c r="AQ145" s="14">
        <v>0</v>
      </c>
      <c r="AR145" s="10">
        <v>13.91275</v>
      </c>
      <c r="AS145" s="10">
        <v>15.529</v>
      </c>
      <c r="AT145" s="14">
        <v>0.966666666666667</v>
      </c>
      <c r="AU145" s="18">
        <v>26</v>
      </c>
      <c r="AV145" s="18">
        <v>26</v>
      </c>
      <c r="AW145" s="18">
        <v>0</v>
      </c>
      <c r="AX145" s="14">
        <v>0</v>
      </c>
    </row>
    <row r="146" spans="1:50">
      <c r="A146" s="3" t="s">
        <v>51</v>
      </c>
      <c r="B146" s="4" t="s">
        <v>62</v>
      </c>
      <c r="C146" s="4" t="s">
        <v>49</v>
      </c>
      <c r="D146" s="4" t="s">
        <v>50</v>
      </c>
      <c r="E146" s="4">
        <v>2</v>
      </c>
      <c r="F146" s="11">
        <v>2.2018492013216</v>
      </c>
      <c r="G146" s="11">
        <v>0.73</v>
      </c>
      <c r="H146" s="11">
        <f>F146/G146</f>
        <v>3.01623178263233</v>
      </c>
      <c r="I146" s="11">
        <v>0.7256781</v>
      </c>
      <c r="J146" s="15">
        <f>I146/G146</f>
        <v>0.994079589041096</v>
      </c>
      <c r="K146" s="11">
        <v>-74.7120374249965</v>
      </c>
      <c r="L146" s="11">
        <v>11.2260749147323</v>
      </c>
      <c r="M146" s="15" t="s">
        <v>54</v>
      </c>
      <c r="N146" s="15" t="s">
        <v>54</v>
      </c>
      <c r="O146" s="15" t="s">
        <v>54</v>
      </c>
      <c r="P146" s="15" t="s">
        <v>54</v>
      </c>
      <c r="Q146" s="11">
        <v>73.0259945717949</v>
      </c>
      <c r="R146" s="11">
        <v>99.1837</v>
      </c>
      <c r="S146" s="15">
        <v>0.984615384615385</v>
      </c>
      <c r="T146" s="19">
        <v>13</v>
      </c>
      <c r="U146" s="19">
        <v>13</v>
      </c>
      <c r="V146" s="19">
        <v>0</v>
      </c>
      <c r="W146" s="15">
        <v>0</v>
      </c>
      <c r="X146" s="11">
        <v>26.632522125</v>
      </c>
      <c r="Y146" s="11">
        <v>30.7508</v>
      </c>
      <c r="Z146" s="15">
        <v>0.997222222222222</v>
      </c>
      <c r="AA146" s="19">
        <v>12</v>
      </c>
      <c r="AB146" s="19">
        <v>12</v>
      </c>
      <c r="AC146" s="19">
        <v>0</v>
      </c>
      <c r="AD146" s="15">
        <v>0</v>
      </c>
      <c r="AE146" s="11">
        <v>-74.8404283222255</v>
      </c>
      <c r="AF146" s="11">
        <v>11.3463204983175</v>
      </c>
      <c r="AG146" s="15" t="s">
        <v>54</v>
      </c>
      <c r="AH146" s="15" t="s">
        <v>54</v>
      </c>
      <c r="AI146" s="15" t="s">
        <v>54</v>
      </c>
      <c r="AJ146" s="15" t="s">
        <v>54</v>
      </c>
      <c r="AK146" s="11">
        <v>72.2972760236256</v>
      </c>
      <c r="AL146" s="11">
        <v>94.2221467142857</v>
      </c>
      <c r="AM146" s="15">
        <v>1</v>
      </c>
      <c r="AN146" s="19">
        <v>13</v>
      </c>
      <c r="AO146" s="19">
        <v>13</v>
      </c>
      <c r="AP146" s="19">
        <v>0</v>
      </c>
      <c r="AQ146" s="15">
        <v>0</v>
      </c>
      <c r="AR146" s="11">
        <v>26.7815677585598</v>
      </c>
      <c r="AS146" s="11">
        <v>29.9372335714286</v>
      </c>
      <c r="AT146" s="15">
        <v>1</v>
      </c>
      <c r="AU146" s="19">
        <v>12</v>
      </c>
      <c r="AV146" s="19">
        <v>12</v>
      </c>
      <c r="AW146" s="19">
        <v>0</v>
      </c>
      <c r="AX146" s="15">
        <v>0</v>
      </c>
    </row>
    <row r="147" spans="1:50">
      <c r="A147" s="3" t="s">
        <v>44</v>
      </c>
      <c r="B147" s="3" t="s">
        <v>59</v>
      </c>
      <c r="C147" s="4" t="s">
        <v>46</v>
      </c>
      <c r="D147" s="5" t="s">
        <v>53</v>
      </c>
      <c r="E147" s="7">
        <v>3</v>
      </c>
      <c r="F147" s="10"/>
      <c r="G147" s="10">
        <v>0.24</v>
      </c>
      <c r="H147" s="10"/>
      <c r="I147" s="10">
        <v>0.24</v>
      </c>
      <c r="J147" s="14">
        <v>1</v>
      </c>
      <c r="K147" s="10">
        <v>-74.6000537923615</v>
      </c>
      <c r="L147" s="10">
        <v>1.34716245293168</v>
      </c>
      <c r="M147" s="14">
        <v>0.999731038192577</v>
      </c>
      <c r="N147" s="14">
        <v>0.999731038192577</v>
      </c>
      <c r="O147" s="14">
        <v>0.999731038192577</v>
      </c>
      <c r="P147" s="14">
        <v>0.999731038192577</v>
      </c>
      <c r="Q147" s="10">
        <v>56.0423908794788</v>
      </c>
      <c r="R147" s="10">
        <v>77.554</v>
      </c>
      <c r="S147" s="14">
        <v>0.990228013029316</v>
      </c>
      <c r="T147" s="18">
        <v>10</v>
      </c>
      <c r="U147" s="18">
        <v>10</v>
      </c>
      <c r="V147" s="18">
        <v>0</v>
      </c>
      <c r="W147" s="14">
        <v>0</v>
      </c>
      <c r="X147" s="10">
        <v>76.8989</v>
      </c>
      <c r="Y147" s="10">
        <v>96.42</v>
      </c>
      <c r="Z147" s="14">
        <v>1</v>
      </c>
      <c r="AA147" s="18">
        <v>10</v>
      </c>
      <c r="AB147" s="18">
        <v>10</v>
      </c>
      <c r="AC147" s="18">
        <v>0</v>
      </c>
      <c r="AD147" s="14">
        <v>0</v>
      </c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</row>
    <row r="148" spans="1:50">
      <c r="A148" s="3" t="s">
        <v>44</v>
      </c>
      <c r="B148" s="3" t="s">
        <v>48</v>
      </c>
      <c r="C148" s="4" t="s">
        <v>49</v>
      </c>
      <c r="D148" s="5" t="s">
        <v>50</v>
      </c>
      <c r="E148" s="7">
        <v>2</v>
      </c>
      <c r="F148" s="10">
        <v>3.564</v>
      </c>
      <c r="G148" s="10">
        <v>0.927</v>
      </c>
      <c r="H148" s="10">
        <v>3.84466019417476</v>
      </c>
      <c r="I148" s="10">
        <v>0.92148448905</v>
      </c>
      <c r="J148" s="14">
        <v>0.99405015</v>
      </c>
      <c r="K148" s="10">
        <v>-74.556643803108</v>
      </c>
      <c r="L148" s="10">
        <v>13.3867782285846</v>
      </c>
      <c r="M148" s="14">
        <v>0.982290795774113</v>
      </c>
      <c r="N148" s="14">
        <v>0.98373489397279</v>
      </c>
      <c r="O148" s="14">
        <v>0.989359258975733</v>
      </c>
      <c r="P148" s="14">
        <v>0.990813748756028</v>
      </c>
      <c r="Q148" s="10">
        <v>50.1199589934762</v>
      </c>
      <c r="R148" s="10">
        <v>88.944</v>
      </c>
      <c r="S148" s="14">
        <v>0.927306616961789</v>
      </c>
      <c r="T148" s="18">
        <v>36</v>
      </c>
      <c r="U148" s="18">
        <v>36</v>
      </c>
      <c r="V148" s="18">
        <v>0</v>
      </c>
      <c r="W148" s="14">
        <v>0</v>
      </c>
      <c r="X148" s="10">
        <v>25.8142322456814</v>
      </c>
      <c r="Y148" s="10">
        <v>31.227</v>
      </c>
      <c r="Z148" s="14">
        <v>0.976007677543186</v>
      </c>
      <c r="AA148" s="18">
        <v>35</v>
      </c>
      <c r="AB148" s="18">
        <v>35</v>
      </c>
      <c r="AC148" s="18">
        <v>0</v>
      </c>
      <c r="AD148" s="14">
        <v>0</v>
      </c>
      <c r="AE148" s="10">
        <v>-76.2348101851852</v>
      </c>
      <c r="AF148" s="10">
        <v>13.2184398148148</v>
      </c>
      <c r="AG148" s="14">
        <v>0.955156950672646</v>
      </c>
      <c r="AH148" s="14">
        <v>0.955156950672646</v>
      </c>
      <c r="AI148" s="14">
        <v>0.986111111111111</v>
      </c>
      <c r="AJ148" s="14">
        <v>0.986111111111111</v>
      </c>
      <c r="AK148" s="10">
        <v>50.2248888888889</v>
      </c>
      <c r="AL148" s="10">
        <v>85.173</v>
      </c>
      <c r="AM148" s="14">
        <v>0.975308641975309</v>
      </c>
      <c r="AN148" s="18">
        <v>36</v>
      </c>
      <c r="AO148" s="18">
        <v>36</v>
      </c>
      <c r="AP148" s="18">
        <v>0</v>
      </c>
      <c r="AQ148" s="14">
        <v>0</v>
      </c>
      <c r="AR148" s="10">
        <v>25.7481625</v>
      </c>
      <c r="AS148" s="10">
        <v>30.555</v>
      </c>
      <c r="AT148" s="14">
        <v>0.9875</v>
      </c>
      <c r="AU148" s="18">
        <v>35</v>
      </c>
      <c r="AV148" s="18">
        <v>35</v>
      </c>
      <c r="AW148" s="18">
        <v>0</v>
      </c>
      <c r="AX148" s="14">
        <v>0</v>
      </c>
    </row>
    <row r="149" spans="1:50">
      <c r="A149" s="3" t="s">
        <v>44</v>
      </c>
      <c r="B149" s="7" t="s">
        <v>60</v>
      </c>
      <c r="C149" s="4" t="s">
        <v>49</v>
      </c>
      <c r="D149" s="4" t="s">
        <v>64</v>
      </c>
      <c r="E149" s="4">
        <v>3</v>
      </c>
      <c r="F149" s="10">
        <v>220.967</v>
      </c>
      <c r="G149" s="10">
        <v>5.742</v>
      </c>
      <c r="H149" s="10">
        <v>38.4825844653431</v>
      </c>
      <c r="I149" s="10">
        <v>5.2971439847</v>
      </c>
      <c r="J149" s="14">
        <v>0.922530477796763</v>
      </c>
      <c r="K149" s="10">
        <v>-74.475239020915</v>
      </c>
      <c r="L149" s="10">
        <v>11.4986229962852</v>
      </c>
      <c r="M149" s="14">
        <v>0.850105355778359</v>
      </c>
      <c r="N149" s="14">
        <v>0.853347072035566</v>
      </c>
      <c r="O149" s="14">
        <v>0.934138211795837</v>
      </c>
      <c r="P149" s="14">
        <v>0.937700371482367</v>
      </c>
      <c r="Q149" s="10">
        <v>28.1315359148685</v>
      </c>
      <c r="R149" s="10">
        <v>60.785</v>
      </c>
      <c r="S149" s="14">
        <v>0.752438663907774</v>
      </c>
      <c r="T149" s="18">
        <v>239</v>
      </c>
      <c r="U149" s="18">
        <v>239</v>
      </c>
      <c r="V149" s="18">
        <v>0</v>
      </c>
      <c r="W149" s="14">
        <v>0</v>
      </c>
      <c r="X149" s="10">
        <v>16.3822369096122</v>
      </c>
      <c r="Y149" s="10">
        <v>23.01</v>
      </c>
      <c r="Z149" s="14">
        <v>0.945224083295609</v>
      </c>
      <c r="AA149" s="18">
        <v>239</v>
      </c>
      <c r="AB149" s="18">
        <v>239</v>
      </c>
      <c r="AC149" s="18">
        <v>0</v>
      </c>
      <c r="AD149" s="14">
        <v>0</v>
      </c>
      <c r="AE149" s="10">
        <v>-74.263159338843</v>
      </c>
      <c r="AF149" s="10">
        <v>10.831249476584</v>
      </c>
      <c r="AG149" s="14">
        <v>0.810897435897436</v>
      </c>
      <c r="AH149" s="14">
        <v>0.815073815073815</v>
      </c>
      <c r="AI149" s="14">
        <v>0.92</v>
      </c>
      <c r="AJ149" s="14">
        <v>0.924738292011019</v>
      </c>
      <c r="AK149" s="10">
        <v>25.1483334447043</v>
      </c>
      <c r="AL149" s="10">
        <v>56.315</v>
      </c>
      <c r="AM149" s="14">
        <v>0.708987637821584</v>
      </c>
      <c r="AN149" s="18">
        <v>239</v>
      </c>
      <c r="AO149" s="18">
        <v>239</v>
      </c>
      <c r="AP149" s="18">
        <v>0</v>
      </c>
      <c r="AQ149" s="14">
        <v>0</v>
      </c>
      <c r="AR149" s="10">
        <v>15.0496007879186</v>
      </c>
      <c r="AS149" s="10">
        <v>22.653</v>
      </c>
      <c r="AT149" s="14">
        <v>0.926789231779383</v>
      </c>
      <c r="AU149" s="18">
        <v>239</v>
      </c>
      <c r="AV149" s="18">
        <v>239</v>
      </c>
      <c r="AW149" s="18">
        <v>0</v>
      </c>
      <c r="AX149" s="14">
        <v>0</v>
      </c>
    </row>
    <row r="150" spans="1:50">
      <c r="A150" s="3" t="s">
        <v>44</v>
      </c>
      <c r="B150" s="7" t="s">
        <v>60</v>
      </c>
      <c r="C150" s="4" t="s">
        <v>49</v>
      </c>
      <c r="D150" s="5" t="s">
        <v>50</v>
      </c>
      <c r="E150" s="7">
        <v>1</v>
      </c>
      <c r="F150" s="10">
        <v>2.505</v>
      </c>
      <c r="G150" s="10">
        <v>0.518</v>
      </c>
      <c r="H150" s="10">
        <v>4.83590733590734</v>
      </c>
      <c r="I150" s="10">
        <v>0.510353284</v>
      </c>
      <c r="J150" s="14">
        <v>0.985238</v>
      </c>
      <c r="K150" s="10">
        <v>-74.4312507077341</v>
      </c>
      <c r="L150" s="10">
        <v>4.95045419544785</v>
      </c>
      <c r="M150" s="14">
        <v>0.906180276662204</v>
      </c>
      <c r="N150" s="14">
        <v>0.906180276662204</v>
      </c>
      <c r="O150" s="14">
        <v>0.919827879062394</v>
      </c>
      <c r="P150" s="14">
        <v>0.919827879062394</v>
      </c>
      <c r="Q150" s="10">
        <v>42.9055222052067</v>
      </c>
      <c r="R150" s="10">
        <v>64.941</v>
      </c>
      <c r="S150" s="14">
        <v>0.964777947932619</v>
      </c>
      <c r="T150" s="18">
        <v>22</v>
      </c>
      <c r="U150" s="18">
        <v>22</v>
      </c>
      <c r="V150" s="18">
        <v>0</v>
      </c>
      <c r="W150" s="14">
        <v>0</v>
      </c>
      <c r="X150" s="10">
        <v>27.3437503805175</v>
      </c>
      <c r="Y150" s="10">
        <v>52.123</v>
      </c>
      <c r="Z150" s="14">
        <v>0.992389649923896</v>
      </c>
      <c r="AA150" s="18">
        <v>22</v>
      </c>
      <c r="AB150" s="18">
        <v>22</v>
      </c>
      <c r="AC150" s="18">
        <v>0</v>
      </c>
      <c r="AD150" s="14">
        <v>0</v>
      </c>
      <c r="AE150" s="10">
        <v>-74.40035625</v>
      </c>
      <c r="AF150" s="10">
        <v>5.21803125</v>
      </c>
      <c r="AG150" s="14">
        <v>0.926829268292683</v>
      </c>
      <c r="AH150" s="14">
        <v>0.926829268292683</v>
      </c>
      <c r="AI150" s="14">
        <v>0.95</v>
      </c>
      <c r="AJ150" s="14">
        <v>0.95</v>
      </c>
      <c r="AK150" s="10">
        <v>43.2795689655172</v>
      </c>
      <c r="AL150" s="10">
        <v>66.251</v>
      </c>
      <c r="AM150" s="14">
        <v>1</v>
      </c>
      <c r="AN150" s="18">
        <v>22</v>
      </c>
      <c r="AO150" s="18">
        <v>22</v>
      </c>
      <c r="AP150" s="18">
        <v>0</v>
      </c>
      <c r="AQ150" s="14">
        <v>0</v>
      </c>
      <c r="AR150" s="10">
        <v>26.8822222222222</v>
      </c>
      <c r="AS150" s="10">
        <v>50.42</v>
      </c>
      <c r="AT150" s="14">
        <v>1</v>
      </c>
      <c r="AU150" s="18">
        <v>22</v>
      </c>
      <c r="AV150" s="18">
        <v>22</v>
      </c>
      <c r="AW150" s="18">
        <v>0</v>
      </c>
      <c r="AX150" s="14">
        <v>0</v>
      </c>
    </row>
    <row r="151" spans="1:50">
      <c r="A151" s="3" t="s">
        <v>44</v>
      </c>
      <c r="B151" s="3" t="s">
        <v>45</v>
      </c>
      <c r="C151" s="4" t="s">
        <v>49</v>
      </c>
      <c r="D151" s="5" t="s">
        <v>50</v>
      </c>
      <c r="E151" s="7">
        <v>1</v>
      </c>
      <c r="F151" s="10">
        <v>2.794</v>
      </c>
      <c r="G151" s="10">
        <v>0.966</v>
      </c>
      <c r="H151" s="10">
        <v>2.89233954451346</v>
      </c>
      <c r="I151" s="10">
        <v>0.9647217888</v>
      </c>
      <c r="J151" s="14">
        <v>0.9986768</v>
      </c>
      <c r="K151" s="10">
        <v>-74.2818907757177</v>
      </c>
      <c r="L151" s="10">
        <v>7.56965320857159</v>
      </c>
      <c r="M151" s="14">
        <v>0.978425151427747</v>
      </c>
      <c r="N151" s="14">
        <v>0.978425151427747</v>
      </c>
      <c r="O151" s="14">
        <v>0.979668457228672</v>
      </c>
      <c r="P151" s="14">
        <v>0.979668457228672</v>
      </c>
      <c r="Q151" s="10">
        <v>43.0035268292683</v>
      </c>
      <c r="R151" s="10">
        <v>54.392</v>
      </c>
      <c r="S151" s="14">
        <v>0.991463414634146</v>
      </c>
      <c r="T151" s="18">
        <v>27</v>
      </c>
      <c r="U151" s="18">
        <v>27</v>
      </c>
      <c r="V151" s="18">
        <v>0</v>
      </c>
      <c r="W151" s="14">
        <v>0</v>
      </c>
      <c r="X151" s="10">
        <v>27.8709205128205</v>
      </c>
      <c r="Y151" s="10">
        <v>38.059</v>
      </c>
      <c r="Z151" s="14">
        <v>1</v>
      </c>
      <c r="AA151" s="18">
        <v>26</v>
      </c>
      <c r="AB151" s="18">
        <v>26</v>
      </c>
      <c r="AC151" s="18">
        <v>0</v>
      </c>
      <c r="AD151" s="14">
        <v>0</v>
      </c>
      <c r="AE151" s="10">
        <v>-72.9922542372881</v>
      </c>
      <c r="AF151" s="10">
        <v>8.5674011299435</v>
      </c>
      <c r="AG151" s="14">
        <v>0.98314606741573</v>
      </c>
      <c r="AH151" s="14">
        <v>0.98314606741573</v>
      </c>
      <c r="AI151" s="14">
        <v>0.988700564971751</v>
      </c>
      <c r="AJ151" s="14">
        <v>0.988700564971751</v>
      </c>
      <c r="AK151" s="10">
        <v>42.6439047619048</v>
      </c>
      <c r="AL151" s="10">
        <v>50.952</v>
      </c>
      <c r="AM151" s="14">
        <v>1</v>
      </c>
      <c r="AN151" s="18">
        <v>27</v>
      </c>
      <c r="AO151" s="18">
        <v>27</v>
      </c>
      <c r="AP151" s="18">
        <v>0</v>
      </c>
      <c r="AQ151" s="14">
        <v>0</v>
      </c>
      <c r="AR151" s="10">
        <v>27.8642833333333</v>
      </c>
      <c r="AS151" s="10">
        <v>38.223</v>
      </c>
      <c r="AT151" s="14">
        <v>1</v>
      </c>
      <c r="AU151" s="18">
        <v>26</v>
      </c>
      <c r="AV151" s="18">
        <v>26</v>
      </c>
      <c r="AW151" s="18">
        <v>0</v>
      </c>
      <c r="AX151" s="14">
        <v>0</v>
      </c>
    </row>
    <row r="152" spans="1:50">
      <c r="A152" s="3" t="s">
        <v>51</v>
      </c>
      <c r="B152" s="6" t="s">
        <v>55</v>
      </c>
      <c r="C152" s="6" t="s">
        <v>49</v>
      </c>
      <c r="D152" s="6" t="s">
        <v>50</v>
      </c>
      <c r="E152" s="5">
        <v>1</v>
      </c>
      <c r="F152" s="11">
        <v>1.83681998944283</v>
      </c>
      <c r="G152" s="11">
        <v>0.400625</v>
      </c>
      <c r="H152" s="11">
        <v>4.58488608909286</v>
      </c>
      <c r="I152" s="11">
        <v>0.4006</v>
      </c>
      <c r="J152" s="15">
        <v>0.9999375975039</v>
      </c>
      <c r="K152" s="11">
        <v>-74.2325448688987</v>
      </c>
      <c r="L152" s="11">
        <v>15.9245105505054</v>
      </c>
      <c r="M152" s="15">
        <v>0.990132036136206</v>
      </c>
      <c r="N152" s="15">
        <v>0.992077831827658</v>
      </c>
      <c r="O152" s="15">
        <v>0.990132036136206</v>
      </c>
      <c r="P152" s="15">
        <v>0.992077831827658</v>
      </c>
      <c r="Q152" s="11">
        <v>60.3347245518293</v>
      </c>
      <c r="R152" s="11">
        <v>91.4536</v>
      </c>
      <c r="S152" s="15">
        <v>0.932926829268293</v>
      </c>
      <c r="T152" s="19">
        <v>11</v>
      </c>
      <c r="U152" s="19">
        <v>11</v>
      </c>
      <c r="V152" s="19">
        <v>0</v>
      </c>
      <c r="W152" s="15">
        <v>0</v>
      </c>
      <c r="X152" s="11">
        <v>55.8774293706896</v>
      </c>
      <c r="Y152" s="11">
        <v>85.2277</v>
      </c>
      <c r="Z152" s="15">
        <v>0.991379310344828</v>
      </c>
      <c r="AA152" s="19">
        <v>12</v>
      </c>
      <c r="AB152" s="19">
        <v>12</v>
      </c>
      <c r="AC152" s="19">
        <v>0</v>
      </c>
      <c r="AD152" s="15">
        <v>0</v>
      </c>
      <c r="AE152" s="11">
        <v>-73.7434153014806</v>
      </c>
      <c r="AF152" s="11">
        <v>15.9620832194652</v>
      </c>
      <c r="AG152" s="15">
        <v>1</v>
      </c>
      <c r="AH152" s="15">
        <v>1</v>
      </c>
      <c r="AI152" s="15">
        <v>1</v>
      </c>
      <c r="AJ152" s="15">
        <v>1</v>
      </c>
      <c r="AK152" s="11">
        <v>60.1485662757591</v>
      </c>
      <c r="AL152" s="11">
        <v>83.9003169444444</v>
      </c>
      <c r="AM152" s="15">
        <v>0.942857142857143</v>
      </c>
      <c r="AN152" s="19">
        <v>11</v>
      </c>
      <c r="AO152" s="19">
        <v>11</v>
      </c>
      <c r="AP152" s="19">
        <v>0</v>
      </c>
      <c r="AQ152" s="15">
        <v>0</v>
      </c>
      <c r="AR152" s="11">
        <v>58.8428172913488</v>
      </c>
      <c r="AS152" s="11">
        <v>84.2277002666667</v>
      </c>
      <c r="AT152" s="15">
        <v>1</v>
      </c>
      <c r="AU152" s="19">
        <v>12</v>
      </c>
      <c r="AV152" s="19">
        <v>12</v>
      </c>
      <c r="AW152" s="19">
        <v>0</v>
      </c>
      <c r="AX152" s="15">
        <v>0</v>
      </c>
    </row>
    <row r="153" spans="1:50">
      <c r="A153" s="3" t="s">
        <v>44</v>
      </c>
      <c r="B153" s="7" t="s">
        <v>60</v>
      </c>
      <c r="C153" s="4" t="s">
        <v>49</v>
      </c>
      <c r="D153" s="5" t="s">
        <v>50</v>
      </c>
      <c r="E153" s="7">
        <v>1</v>
      </c>
      <c r="F153" s="10">
        <v>6.053</v>
      </c>
      <c r="G153" s="10">
        <v>0.641</v>
      </c>
      <c r="H153" s="10">
        <v>9.44305772230889</v>
      </c>
      <c r="I153" s="10">
        <v>0.62650893223</v>
      </c>
      <c r="J153" s="14">
        <v>0.97739303</v>
      </c>
      <c r="K153" s="10">
        <v>-74.1708696271247</v>
      </c>
      <c r="L153" s="10">
        <v>8.09614932811249</v>
      </c>
      <c r="M153" s="14">
        <v>0.927726561141068</v>
      </c>
      <c r="N153" s="14">
        <v>0.9298138806749</v>
      </c>
      <c r="O153" s="14">
        <v>0.949274717451277</v>
      </c>
      <c r="P153" s="14">
        <v>0.95141051882175</v>
      </c>
      <c r="Q153" s="10">
        <v>42.1341075794621</v>
      </c>
      <c r="R153" s="10">
        <v>65.263</v>
      </c>
      <c r="S153" s="14">
        <v>0.900977995110024</v>
      </c>
      <c r="T153" s="18">
        <v>27</v>
      </c>
      <c r="U153" s="18">
        <v>27</v>
      </c>
      <c r="V153" s="18">
        <v>0</v>
      </c>
      <c r="W153" s="14">
        <v>0</v>
      </c>
      <c r="X153" s="10">
        <v>29.9297280813215</v>
      </c>
      <c r="Y153" s="10">
        <v>48.231</v>
      </c>
      <c r="Z153" s="14">
        <v>0.941550190597205</v>
      </c>
      <c r="AA153" s="18">
        <v>27</v>
      </c>
      <c r="AB153" s="18">
        <v>27</v>
      </c>
      <c r="AC153" s="18">
        <v>0</v>
      </c>
      <c r="AD153" s="14">
        <v>0</v>
      </c>
      <c r="AE153" s="10">
        <v>-73.6452436260623</v>
      </c>
      <c r="AF153" s="10">
        <v>9.19416147308782</v>
      </c>
      <c r="AG153" s="14">
        <v>0.910326086956522</v>
      </c>
      <c r="AH153" s="14">
        <v>0.91304347826087</v>
      </c>
      <c r="AI153" s="14">
        <v>0.949008498583569</v>
      </c>
      <c r="AJ153" s="14">
        <v>0.951841359773371</v>
      </c>
      <c r="AK153" s="10">
        <v>41.5374645669291</v>
      </c>
      <c r="AL153" s="10">
        <v>63.265</v>
      </c>
      <c r="AM153" s="14">
        <v>0.905511811023622</v>
      </c>
      <c r="AN153" s="18">
        <v>27</v>
      </c>
      <c r="AO153" s="18">
        <v>27</v>
      </c>
      <c r="AP153" s="18">
        <v>0</v>
      </c>
      <c r="AQ153" s="14">
        <v>0</v>
      </c>
      <c r="AR153" s="10">
        <v>29.6655245901639</v>
      </c>
      <c r="AS153" s="10">
        <v>46.674</v>
      </c>
      <c r="AT153" s="14">
        <v>0.926229508196721</v>
      </c>
      <c r="AU153" s="18">
        <v>27</v>
      </c>
      <c r="AV153" s="18">
        <v>27</v>
      </c>
      <c r="AW153" s="18">
        <v>0</v>
      </c>
      <c r="AX153" s="14">
        <v>0</v>
      </c>
    </row>
    <row r="154" spans="1:50">
      <c r="A154" s="3" t="s">
        <v>44</v>
      </c>
      <c r="B154" s="3" t="s">
        <v>45</v>
      </c>
      <c r="C154" s="4" t="s">
        <v>49</v>
      </c>
      <c r="D154" s="4" t="s">
        <v>64</v>
      </c>
      <c r="E154" s="4">
        <v>3</v>
      </c>
      <c r="F154" s="10">
        <v>377.292</v>
      </c>
      <c r="G154" s="10">
        <v>7.392</v>
      </c>
      <c r="H154" s="10">
        <v>51.0405844155844</v>
      </c>
      <c r="I154" s="10">
        <v>7.13302388321</v>
      </c>
      <c r="J154" s="14">
        <v>0.964960435977145</v>
      </c>
      <c r="K154" s="10">
        <v>-74.1425266753787</v>
      </c>
      <c r="L154" s="10">
        <v>11.1729298187144</v>
      </c>
      <c r="M154" s="14">
        <v>0.906129298858136</v>
      </c>
      <c r="N154" s="14">
        <v>0.90905564269932</v>
      </c>
      <c r="O154" s="14">
        <v>0.942360483779019</v>
      </c>
      <c r="P154" s="14">
        <v>0.945403836202738</v>
      </c>
      <c r="Q154" s="10">
        <v>28.8824671023482</v>
      </c>
      <c r="R154" s="10">
        <v>62.83</v>
      </c>
      <c r="S154" s="14">
        <v>0.7512184315463</v>
      </c>
      <c r="T154" s="18">
        <v>307</v>
      </c>
      <c r="U154" s="18">
        <v>307</v>
      </c>
      <c r="V154" s="18">
        <v>0</v>
      </c>
      <c r="W154" s="14">
        <v>0</v>
      </c>
      <c r="X154" s="10">
        <v>14.5418597527013</v>
      </c>
      <c r="Y154" s="10">
        <v>24.875</v>
      </c>
      <c r="Z154" s="14">
        <v>0.959786120084661</v>
      </c>
      <c r="AA154" s="18">
        <v>311</v>
      </c>
      <c r="AB154" s="18">
        <v>311</v>
      </c>
      <c r="AC154" s="18">
        <v>0</v>
      </c>
      <c r="AD154" s="14">
        <v>0</v>
      </c>
      <c r="AE154" s="10">
        <v>-74.7061759382795</v>
      </c>
      <c r="AF154" s="10">
        <v>10.8340848657115</v>
      </c>
      <c r="AG154" s="14">
        <v>0.890598384526622</v>
      </c>
      <c r="AH154" s="14">
        <v>0.894334853563383</v>
      </c>
      <c r="AI154" s="14">
        <v>0.94019374673705</v>
      </c>
      <c r="AJ154" s="14">
        <v>0.94413829108417</v>
      </c>
      <c r="AK154" s="10">
        <v>28.1727540322581</v>
      </c>
      <c r="AL154" s="10">
        <v>61.885</v>
      </c>
      <c r="AM154" s="14">
        <v>0.742319508448541</v>
      </c>
      <c r="AN154" s="18">
        <v>307</v>
      </c>
      <c r="AO154" s="18">
        <v>307</v>
      </c>
      <c r="AP154" s="18">
        <v>0</v>
      </c>
      <c r="AQ154" s="14">
        <v>0</v>
      </c>
      <c r="AR154" s="10">
        <v>14.5172565789474</v>
      </c>
      <c r="AS154" s="10">
        <v>25.244</v>
      </c>
      <c r="AT154" s="14">
        <v>0.955263157894737</v>
      </c>
      <c r="AU154" s="18">
        <v>311</v>
      </c>
      <c r="AV154" s="18">
        <v>311</v>
      </c>
      <c r="AW154" s="18">
        <v>0</v>
      </c>
      <c r="AX154" s="14">
        <v>0</v>
      </c>
    </row>
    <row r="155" spans="1:50">
      <c r="A155" s="3" t="s">
        <v>44</v>
      </c>
      <c r="B155" s="7" t="s">
        <v>60</v>
      </c>
      <c r="C155" s="4" t="s">
        <v>46</v>
      </c>
      <c r="D155" s="5" t="s">
        <v>53</v>
      </c>
      <c r="E155" s="7">
        <v>2</v>
      </c>
      <c r="F155" s="10"/>
      <c r="G155" s="10">
        <v>0.24</v>
      </c>
      <c r="H155" s="10"/>
      <c r="I155" s="10">
        <v>0.24</v>
      </c>
      <c r="J155" s="14">
        <v>1</v>
      </c>
      <c r="K155" s="10">
        <v>-74.0618237317283</v>
      </c>
      <c r="L155" s="10">
        <v>23.1709165950129</v>
      </c>
      <c r="M155" s="14">
        <v>1</v>
      </c>
      <c r="N155" s="14">
        <v>1</v>
      </c>
      <c r="O155" s="14">
        <v>1</v>
      </c>
      <c r="P155" s="14">
        <v>1</v>
      </c>
      <c r="Q155" s="10">
        <v>31.1644125412541</v>
      </c>
      <c r="R155" s="10">
        <v>47.018</v>
      </c>
      <c r="S155" s="14">
        <v>0.99009900990099</v>
      </c>
      <c r="T155" s="18">
        <v>10</v>
      </c>
      <c r="U155" s="18">
        <v>10</v>
      </c>
      <c r="V155" s="18">
        <v>0</v>
      </c>
      <c r="W155" s="14">
        <v>0</v>
      </c>
      <c r="X155" s="10">
        <v>20.17708</v>
      </c>
      <c r="Y155" s="10">
        <v>22.371</v>
      </c>
      <c r="Z155" s="14">
        <v>1</v>
      </c>
      <c r="AA155" s="18">
        <v>10</v>
      </c>
      <c r="AB155" s="18">
        <v>10</v>
      </c>
      <c r="AC155" s="18">
        <v>0</v>
      </c>
      <c r="AD155" s="14">
        <v>0</v>
      </c>
      <c r="AE155" s="10"/>
      <c r="AF155" s="10"/>
      <c r="AG155" s="14"/>
      <c r="AH155" s="14"/>
      <c r="AI155" s="14"/>
      <c r="AJ155" s="14"/>
      <c r="AK155" s="10"/>
      <c r="AL155" s="10"/>
      <c r="AM155" s="14"/>
      <c r="AN155" s="18"/>
      <c r="AO155" s="18"/>
      <c r="AP155" s="18"/>
      <c r="AQ155" s="14"/>
      <c r="AR155" s="10"/>
      <c r="AS155" s="10"/>
      <c r="AT155" s="14"/>
      <c r="AU155" s="18"/>
      <c r="AV155" s="18"/>
      <c r="AW155" s="18"/>
      <c r="AX155" s="14"/>
    </row>
    <row r="156" spans="1:50">
      <c r="A156" s="3" t="s">
        <v>51</v>
      </c>
      <c r="B156" s="5" t="s">
        <v>63</v>
      </c>
      <c r="C156" s="6" t="s">
        <v>49</v>
      </c>
      <c r="D156" s="6" t="s">
        <v>61</v>
      </c>
      <c r="E156" s="5">
        <v>2</v>
      </c>
      <c r="F156" s="11">
        <v>2.03014532768726</v>
      </c>
      <c r="G156" s="11">
        <v>0.497747222222222</v>
      </c>
      <c r="H156" s="11">
        <v>4.07866731756645</v>
      </c>
      <c r="I156" s="11">
        <v>0.497722222222222</v>
      </c>
      <c r="J156" s="15">
        <v>0.999949773702627</v>
      </c>
      <c r="K156" s="11">
        <v>-74.010617695069</v>
      </c>
      <c r="L156" s="11">
        <v>15.4016491977356</v>
      </c>
      <c r="M156" s="15">
        <v>0.99685393258427</v>
      </c>
      <c r="N156" s="15">
        <v>0.99685393258427</v>
      </c>
      <c r="O156" s="15">
        <v>0.99685393258427</v>
      </c>
      <c r="P156" s="15">
        <v>0.99685393258427</v>
      </c>
      <c r="Q156" s="11">
        <v>31.1188838110048</v>
      </c>
      <c r="R156" s="11">
        <v>46.1115</v>
      </c>
      <c r="S156" s="15">
        <v>0.952153110047847</v>
      </c>
      <c r="T156" s="19">
        <v>14</v>
      </c>
      <c r="U156" s="19">
        <v>14</v>
      </c>
      <c r="V156" s="19">
        <v>0</v>
      </c>
      <c r="W156" s="15">
        <v>0</v>
      </c>
      <c r="X156" s="11">
        <v>11.7124621742243</v>
      </c>
      <c r="Y156" s="11">
        <v>14.0941</v>
      </c>
      <c r="Z156" s="15">
        <v>1</v>
      </c>
      <c r="AA156" s="19">
        <v>14</v>
      </c>
      <c r="AB156" s="19">
        <v>14</v>
      </c>
      <c r="AC156" s="19">
        <v>0</v>
      </c>
      <c r="AD156" s="15">
        <v>0</v>
      </c>
      <c r="AE156" s="11">
        <v>-73.5931221227032</v>
      </c>
      <c r="AF156" s="11">
        <v>15.4413327338426</v>
      </c>
      <c r="AG156" s="15">
        <v>1</v>
      </c>
      <c r="AH156" s="15">
        <v>1</v>
      </c>
      <c r="AI156" s="15">
        <v>1</v>
      </c>
      <c r="AJ156" s="15">
        <v>1</v>
      </c>
      <c r="AK156" s="11">
        <v>32.8004731145912</v>
      </c>
      <c r="AL156" s="11">
        <v>43.23535075</v>
      </c>
      <c r="AM156" s="15">
        <v>0.935483870967742</v>
      </c>
      <c r="AN156" s="19">
        <v>14</v>
      </c>
      <c r="AO156" s="19">
        <v>14</v>
      </c>
      <c r="AP156" s="19">
        <v>0</v>
      </c>
      <c r="AQ156" s="15">
        <v>0</v>
      </c>
      <c r="AR156" s="11">
        <v>11.8867443616004</v>
      </c>
      <c r="AS156" s="11">
        <v>13.4918542727273</v>
      </c>
      <c r="AT156" s="15">
        <v>1</v>
      </c>
      <c r="AU156" s="19">
        <v>14</v>
      </c>
      <c r="AV156" s="19">
        <v>14</v>
      </c>
      <c r="AW156" s="19">
        <v>0</v>
      </c>
      <c r="AX156" s="15">
        <v>0</v>
      </c>
    </row>
    <row r="157" spans="1:50">
      <c r="A157" s="3" t="s">
        <v>44</v>
      </c>
      <c r="B157" s="3" t="s">
        <v>45</v>
      </c>
      <c r="C157" s="8" t="s">
        <v>49</v>
      </c>
      <c r="D157" s="8" t="s">
        <v>64</v>
      </c>
      <c r="E157" s="8">
        <v>1</v>
      </c>
      <c r="F157" s="10">
        <v>377.292</v>
      </c>
      <c r="G157" s="10">
        <v>7.392</v>
      </c>
      <c r="H157" s="10">
        <v>51.0405844155844</v>
      </c>
      <c r="I157" s="10">
        <v>7.22658852703</v>
      </c>
      <c r="J157" s="14">
        <v>0.977616376961408</v>
      </c>
      <c r="K157" s="10">
        <v>-74.0088664964363</v>
      </c>
      <c r="L157" s="10">
        <v>12.2596376002291</v>
      </c>
      <c r="M157" s="14">
        <v>0.947795472032456</v>
      </c>
      <c r="N157" s="14">
        <v>0.947935368043088</v>
      </c>
      <c r="O157" s="14">
        <v>0.970074455899198</v>
      </c>
      <c r="P157" s="14">
        <v>0.970217640320733</v>
      </c>
      <c r="Q157" s="10">
        <v>53.4069968746632</v>
      </c>
      <c r="R157" s="10">
        <v>82.302</v>
      </c>
      <c r="S157" s="14">
        <v>0.946007112835435</v>
      </c>
      <c r="T157" s="18">
        <v>312</v>
      </c>
      <c r="U157" s="18">
        <v>312</v>
      </c>
      <c r="V157" s="18">
        <v>0</v>
      </c>
      <c r="W157" s="14">
        <v>0</v>
      </c>
      <c r="X157" s="10">
        <v>33.0053229132025</v>
      </c>
      <c r="Y157" s="10">
        <v>52.46</v>
      </c>
      <c r="Z157" s="14">
        <v>0.995122491963197</v>
      </c>
      <c r="AA157" s="18">
        <v>309</v>
      </c>
      <c r="AB157" s="18">
        <v>309</v>
      </c>
      <c r="AC157" s="18">
        <v>0</v>
      </c>
      <c r="AD157" s="14">
        <v>0</v>
      </c>
      <c r="AE157" s="10">
        <v>-74.1816630298402</v>
      </c>
      <c r="AF157" s="10">
        <v>11.4388954230538</v>
      </c>
      <c r="AG157" s="14">
        <v>0.935799610587802</v>
      </c>
      <c r="AH157" s="14">
        <v>0.935904857127822</v>
      </c>
      <c r="AI157" s="14">
        <v>0.970105286127325</v>
      </c>
      <c r="AJ157" s="14">
        <v>0.970214390922481</v>
      </c>
      <c r="AK157" s="10">
        <v>53.5482494849223</v>
      </c>
      <c r="AL157" s="10">
        <v>81.818</v>
      </c>
      <c r="AM157" s="14">
        <v>0.956733470687395</v>
      </c>
      <c r="AN157" s="18">
        <v>312</v>
      </c>
      <c r="AO157" s="18">
        <v>312</v>
      </c>
      <c r="AP157" s="18">
        <v>0</v>
      </c>
      <c r="AQ157" s="14">
        <v>0</v>
      </c>
      <c r="AR157" s="10">
        <v>33.54300410831</v>
      </c>
      <c r="AS157" s="10">
        <v>53.148</v>
      </c>
      <c r="AT157" s="14">
        <v>0.994397759103641</v>
      </c>
      <c r="AU157" s="18">
        <v>309</v>
      </c>
      <c r="AV157" s="18">
        <v>309</v>
      </c>
      <c r="AW157" s="18">
        <v>0</v>
      </c>
      <c r="AX157" s="14">
        <v>0</v>
      </c>
    </row>
    <row r="158" spans="1:50">
      <c r="A158" s="3" t="s">
        <v>51</v>
      </c>
      <c r="B158" s="4" t="s">
        <v>58</v>
      </c>
      <c r="C158" s="6" t="s">
        <v>49</v>
      </c>
      <c r="D158" s="6" t="s">
        <v>50</v>
      </c>
      <c r="E158" s="4">
        <v>2</v>
      </c>
      <c r="F158" s="11">
        <v>5.07167007052898</v>
      </c>
      <c r="G158" s="11">
        <v>0.584675</v>
      </c>
      <c r="H158" s="11">
        <v>8.67434056617605</v>
      </c>
      <c r="I158" s="11">
        <v>0.563358333333333</v>
      </c>
      <c r="J158" s="15">
        <v>0.963540998560454</v>
      </c>
      <c r="K158" s="11">
        <v>-73.815859943431</v>
      </c>
      <c r="L158" s="11">
        <v>11.513082558652</v>
      </c>
      <c r="M158" s="15">
        <v>0.928074688006097</v>
      </c>
      <c r="N158" s="15">
        <v>0.937601219396018</v>
      </c>
      <c r="O158" s="15">
        <v>0.962743354086372</v>
      </c>
      <c r="P158" s="15">
        <v>0.972625753532958</v>
      </c>
      <c r="Q158" s="11">
        <v>37.8384902244444</v>
      </c>
      <c r="R158" s="11">
        <v>64.3666</v>
      </c>
      <c r="S158" s="15">
        <v>0.884444444444444</v>
      </c>
      <c r="T158" s="19">
        <v>15</v>
      </c>
      <c r="U158" s="19">
        <v>15</v>
      </c>
      <c r="V158" s="19">
        <v>0</v>
      </c>
      <c r="W158" s="15">
        <v>0</v>
      </c>
      <c r="X158" s="11">
        <v>15.0732061311111</v>
      </c>
      <c r="Y158" s="11">
        <v>22.1021</v>
      </c>
      <c r="Z158" s="15">
        <v>0.982222222222222</v>
      </c>
      <c r="AA158" s="19">
        <v>15</v>
      </c>
      <c r="AB158" s="19">
        <v>15</v>
      </c>
      <c r="AC158" s="19">
        <v>0</v>
      </c>
      <c r="AD158" s="15">
        <v>0</v>
      </c>
      <c r="AE158" s="11">
        <v>-75.7704244537165</v>
      </c>
      <c r="AF158" s="11">
        <v>11.4347895969843</v>
      </c>
      <c r="AG158" s="15">
        <v>0.88135593220339</v>
      </c>
      <c r="AH158" s="15">
        <v>0.898305084745763</v>
      </c>
      <c r="AI158" s="15">
        <v>0.945454545454545</v>
      </c>
      <c r="AJ158" s="15">
        <v>0.963636363636364</v>
      </c>
      <c r="AK158" s="11">
        <v>35.458035660316</v>
      </c>
      <c r="AL158" s="11">
        <v>57.2767441666667</v>
      </c>
      <c r="AM158" s="15">
        <v>0.896103896103896</v>
      </c>
      <c r="AN158" s="19">
        <v>15</v>
      </c>
      <c r="AO158" s="19">
        <v>15</v>
      </c>
      <c r="AP158" s="19">
        <v>0</v>
      </c>
      <c r="AQ158" s="15">
        <v>0</v>
      </c>
      <c r="AR158" s="11">
        <v>15.0929344268255</v>
      </c>
      <c r="AS158" s="11">
        <v>21.8992135555556</v>
      </c>
      <c r="AT158" s="15">
        <v>0.983606557377049</v>
      </c>
      <c r="AU158" s="19">
        <v>15</v>
      </c>
      <c r="AV158" s="19">
        <v>15</v>
      </c>
      <c r="AW158" s="19">
        <v>0</v>
      </c>
      <c r="AX158" s="15">
        <v>0</v>
      </c>
    </row>
    <row r="159" spans="1:50">
      <c r="A159" s="3" t="s">
        <v>51</v>
      </c>
      <c r="B159" s="5" t="s">
        <v>55</v>
      </c>
      <c r="C159" s="5" t="s">
        <v>46</v>
      </c>
      <c r="D159" s="5" t="s">
        <v>53</v>
      </c>
      <c r="E159" s="5">
        <v>1</v>
      </c>
      <c r="F159" s="11" t="s">
        <v>54</v>
      </c>
      <c r="G159" s="11">
        <v>0.384994444444444</v>
      </c>
      <c r="H159" s="11" t="s">
        <v>54</v>
      </c>
      <c r="I159" s="11">
        <v>0.384966666666667</v>
      </c>
      <c r="J159" s="15">
        <v>0.999927848886708</v>
      </c>
      <c r="K159" s="11">
        <v>-73.776852290387</v>
      </c>
      <c r="L159" s="11">
        <v>15.9161183600413</v>
      </c>
      <c r="M159" s="15">
        <v>1</v>
      </c>
      <c r="N159" s="15">
        <v>1</v>
      </c>
      <c r="O159" s="15">
        <v>1</v>
      </c>
      <c r="P159" s="15">
        <v>1</v>
      </c>
      <c r="Q159" s="11">
        <v>33.08335808</v>
      </c>
      <c r="R159" s="11">
        <v>46.8487</v>
      </c>
      <c r="S159" s="15">
        <v>0.99</v>
      </c>
      <c r="T159" s="19">
        <v>10</v>
      </c>
      <c r="U159" s="19">
        <v>10</v>
      </c>
      <c r="V159" s="19">
        <v>0</v>
      </c>
      <c r="W159" s="15">
        <v>0</v>
      </c>
      <c r="X159" s="11">
        <v>42.1607033133333</v>
      </c>
      <c r="Y159" s="11">
        <v>49.6496</v>
      </c>
      <c r="Z159" s="15">
        <v>1</v>
      </c>
      <c r="AA159" s="19">
        <v>10</v>
      </c>
      <c r="AB159" s="19">
        <v>10</v>
      </c>
      <c r="AC159" s="19">
        <v>0</v>
      </c>
      <c r="AD159" s="15">
        <v>0</v>
      </c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</row>
    <row r="160" spans="1:50">
      <c r="A160" s="3" t="s">
        <v>51</v>
      </c>
      <c r="B160" s="5" t="s">
        <v>55</v>
      </c>
      <c r="C160" s="5" t="s">
        <v>49</v>
      </c>
      <c r="D160" s="5" t="s">
        <v>64</v>
      </c>
      <c r="E160" s="5">
        <v>1</v>
      </c>
      <c r="F160" s="11">
        <v>208.332921089232</v>
      </c>
      <c r="G160" s="11">
        <v>8.22560277777778</v>
      </c>
      <c r="H160" s="11">
        <v>25.3273743842898</v>
      </c>
      <c r="I160" s="11">
        <v>7.9974</v>
      </c>
      <c r="J160" s="15">
        <v>0.972257014599065</v>
      </c>
      <c r="K160" s="11">
        <v>-73.7350342916856</v>
      </c>
      <c r="L160" s="11">
        <v>12.2259974164216</v>
      </c>
      <c r="M160" s="15">
        <v>0.929740929835728</v>
      </c>
      <c r="N160" s="15">
        <v>0.931291558890048</v>
      </c>
      <c r="O160" s="15">
        <v>0.957496809645679</v>
      </c>
      <c r="P160" s="15">
        <v>0.959093730169246</v>
      </c>
      <c r="Q160" s="11">
        <v>38.8188870980764</v>
      </c>
      <c r="R160" s="11">
        <v>81.096</v>
      </c>
      <c r="S160" s="15">
        <v>0.851209559895074</v>
      </c>
      <c r="T160" s="19">
        <v>232</v>
      </c>
      <c r="U160" s="19">
        <v>230</v>
      </c>
      <c r="V160" s="19">
        <v>1</v>
      </c>
      <c r="W160" s="15">
        <v>0.00434782608695652</v>
      </c>
      <c r="X160" s="11">
        <v>45.4637085024566</v>
      </c>
      <c r="Y160" s="11">
        <v>79.7598</v>
      </c>
      <c r="Z160" s="15">
        <v>0.963583815028902</v>
      </c>
      <c r="AA160" s="19">
        <v>234</v>
      </c>
      <c r="AB160" s="19">
        <v>234</v>
      </c>
      <c r="AC160" s="19">
        <v>0</v>
      </c>
      <c r="AD160" s="15">
        <v>0</v>
      </c>
      <c r="AE160" s="11">
        <v>-74.3757848812683</v>
      </c>
      <c r="AF160" s="11">
        <v>12.1115025817109</v>
      </c>
      <c r="AG160" s="15">
        <v>0.899976070830342</v>
      </c>
      <c r="AH160" s="15">
        <v>0.901292175161522</v>
      </c>
      <c r="AI160" s="15">
        <v>0.953237865923204</v>
      </c>
      <c r="AJ160" s="15">
        <v>0.954631859079965</v>
      </c>
      <c r="AK160" s="11">
        <v>39.7075847466483</v>
      </c>
      <c r="AL160" s="11">
        <v>80.82384</v>
      </c>
      <c r="AM160" s="15">
        <v>0.867232901206974</v>
      </c>
      <c r="AN160" s="19">
        <v>232</v>
      </c>
      <c r="AO160" s="19">
        <v>230</v>
      </c>
      <c r="AP160" s="19">
        <v>1</v>
      </c>
      <c r="AQ160" s="15">
        <v>0.00434782608695652</v>
      </c>
      <c r="AR160" s="11">
        <v>43.740240410119</v>
      </c>
      <c r="AS160" s="11">
        <v>76.8594785</v>
      </c>
      <c r="AT160" s="15">
        <v>0.960544856740254</v>
      </c>
      <c r="AU160" s="19">
        <v>234</v>
      </c>
      <c r="AV160" s="19">
        <v>234</v>
      </c>
      <c r="AW160" s="19">
        <v>0</v>
      </c>
      <c r="AX160" s="15">
        <v>0</v>
      </c>
    </row>
    <row r="161" spans="1:50">
      <c r="A161" s="3" t="s">
        <v>44</v>
      </c>
      <c r="B161" s="3" t="s">
        <v>45</v>
      </c>
      <c r="C161" s="4" t="s">
        <v>49</v>
      </c>
      <c r="D161" s="4" t="s">
        <v>64</v>
      </c>
      <c r="E161" s="4">
        <v>2</v>
      </c>
      <c r="F161" s="10">
        <v>377.292</v>
      </c>
      <c r="G161" s="10">
        <v>7.392</v>
      </c>
      <c r="H161" s="10">
        <v>51.0405844155844</v>
      </c>
      <c r="I161" s="10">
        <v>7.1419147016</v>
      </c>
      <c r="J161" s="14">
        <v>0.966163748265622</v>
      </c>
      <c r="K161" s="10">
        <v>-73.6131796643285</v>
      </c>
      <c r="L161" s="10">
        <v>11.1804841273334</v>
      </c>
      <c r="M161" s="14">
        <v>0.915364539199403</v>
      </c>
      <c r="N161" s="14">
        <v>0.917059282106904</v>
      </c>
      <c r="O161" s="14">
        <v>0.950723005025391</v>
      </c>
      <c r="P161" s="14">
        <v>0.952483212025734</v>
      </c>
      <c r="Q161" s="10">
        <v>27.6151163652212</v>
      </c>
      <c r="R161" s="10">
        <v>59.754</v>
      </c>
      <c r="S161" s="14">
        <v>0.76236652865548</v>
      </c>
      <c r="T161" s="18">
        <v>312</v>
      </c>
      <c r="U161" s="18">
        <v>312</v>
      </c>
      <c r="V161" s="18">
        <v>0</v>
      </c>
      <c r="W161" s="14">
        <v>0</v>
      </c>
      <c r="X161" s="10">
        <v>13.2365583323994</v>
      </c>
      <c r="Y161" s="10">
        <v>24.206</v>
      </c>
      <c r="Z161" s="14">
        <v>0.961896223243304</v>
      </c>
      <c r="AA161" s="18">
        <v>308</v>
      </c>
      <c r="AB161" s="18">
        <v>308</v>
      </c>
      <c r="AC161" s="18">
        <v>0</v>
      </c>
      <c r="AD161" s="14">
        <v>0</v>
      </c>
      <c r="AE161" s="10">
        <v>-73.8335767536232</v>
      </c>
      <c r="AF161" s="10">
        <v>10.8711830724638</v>
      </c>
      <c r="AG161" s="14">
        <v>0.900396213955536</v>
      </c>
      <c r="AH161" s="14">
        <v>0.901826986572749</v>
      </c>
      <c r="AI161" s="14">
        <v>0.948521739130435</v>
      </c>
      <c r="AJ161" s="14">
        <v>0.950028985507246</v>
      </c>
      <c r="AK161" s="10">
        <v>26.5076879245283</v>
      </c>
      <c r="AL161" s="10">
        <v>57.979</v>
      </c>
      <c r="AM161" s="14">
        <v>0.747358490566038</v>
      </c>
      <c r="AN161" s="18">
        <v>312</v>
      </c>
      <c r="AO161" s="18">
        <v>312</v>
      </c>
      <c r="AP161" s="18">
        <v>0</v>
      </c>
      <c r="AQ161" s="14">
        <v>0</v>
      </c>
      <c r="AR161" s="10">
        <v>12.9158031421541</v>
      </c>
      <c r="AS161" s="10">
        <v>23.673</v>
      </c>
      <c r="AT161" s="14">
        <v>0.959681998864282</v>
      </c>
      <c r="AU161" s="18">
        <v>308</v>
      </c>
      <c r="AV161" s="18">
        <v>308</v>
      </c>
      <c r="AW161" s="18">
        <v>0</v>
      </c>
      <c r="AX161" s="14">
        <v>0</v>
      </c>
    </row>
    <row r="162" spans="1:50">
      <c r="A162" s="3" t="s">
        <v>44</v>
      </c>
      <c r="B162" s="3" t="s">
        <v>59</v>
      </c>
      <c r="C162" s="4" t="s">
        <v>49</v>
      </c>
      <c r="D162" s="5" t="s">
        <v>50</v>
      </c>
      <c r="E162" s="7">
        <v>1</v>
      </c>
      <c r="F162" s="10">
        <v>2.42</v>
      </c>
      <c r="G162" s="10">
        <v>0.624</v>
      </c>
      <c r="H162" s="10">
        <v>3.87820512820513</v>
      </c>
      <c r="I162" s="10">
        <v>0.61927228272</v>
      </c>
      <c r="J162" s="14">
        <v>0.99242353</v>
      </c>
      <c r="K162" s="10">
        <v>-73.5264655312247</v>
      </c>
      <c r="L162" s="10">
        <v>12.6886813553213</v>
      </c>
      <c r="M162" s="14">
        <v>0.972975391498882</v>
      </c>
      <c r="N162" s="14">
        <v>0.973064876957494</v>
      </c>
      <c r="O162" s="14">
        <v>0.979814364242588</v>
      </c>
      <c r="P162" s="14">
        <v>0.979904478687934</v>
      </c>
      <c r="Q162" s="10">
        <v>56.0588484076433</v>
      </c>
      <c r="R162" s="10">
        <v>81.625</v>
      </c>
      <c r="S162" s="14">
        <v>0.980891719745223</v>
      </c>
      <c r="T162" s="18">
        <v>26</v>
      </c>
      <c r="U162" s="18">
        <v>26</v>
      </c>
      <c r="V162" s="18">
        <v>0</v>
      </c>
      <c r="W162" s="14">
        <v>0</v>
      </c>
      <c r="X162" s="10">
        <v>46.2115840821566</v>
      </c>
      <c r="Y162" s="10">
        <v>69.943</v>
      </c>
      <c r="Z162" s="14">
        <v>0.988446726572529</v>
      </c>
      <c r="AA162" s="18">
        <v>26</v>
      </c>
      <c r="AB162" s="18">
        <v>25</v>
      </c>
      <c r="AC162" s="18">
        <v>0</v>
      </c>
      <c r="AD162" s="14">
        <v>0</v>
      </c>
      <c r="AE162" s="10">
        <v>-74.865485380117</v>
      </c>
      <c r="AF162" s="10">
        <v>11.6936023391813</v>
      </c>
      <c r="AG162" s="14">
        <v>0.971264367816092</v>
      </c>
      <c r="AH162" s="14">
        <v>0.971264367816092</v>
      </c>
      <c r="AI162" s="14">
        <v>0.988304093567251</v>
      </c>
      <c r="AJ162" s="14">
        <v>0.988304093567251</v>
      </c>
      <c r="AK162" s="10">
        <v>53.3767272727273</v>
      </c>
      <c r="AL162" s="10">
        <v>73.423</v>
      </c>
      <c r="AM162" s="14">
        <v>1</v>
      </c>
      <c r="AN162" s="18">
        <v>26</v>
      </c>
      <c r="AO162" s="18">
        <v>26</v>
      </c>
      <c r="AP162" s="18">
        <v>0</v>
      </c>
      <c r="AQ162" s="14">
        <v>0</v>
      </c>
      <c r="AR162" s="10">
        <v>45.1540746268657</v>
      </c>
      <c r="AS162" s="10">
        <v>65.719</v>
      </c>
      <c r="AT162" s="14">
        <v>0.985074626865672</v>
      </c>
      <c r="AU162" s="18">
        <v>26</v>
      </c>
      <c r="AV162" s="18">
        <v>25</v>
      </c>
      <c r="AW162" s="18">
        <v>0</v>
      </c>
      <c r="AX162" s="14">
        <v>0</v>
      </c>
    </row>
    <row r="163" spans="1:50">
      <c r="A163" s="3" t="s">
        <v>51</v>
      </c>
      <c r="B163" s="6" t="s">
        <v>52</v>
      </c>
      <c r="C163" s="6" t="s">
        <v>49</v>
      </c>
      <c r="D163" s="6" t="s">
        <v>50</v>
      </c>
      <c r="E163" s="4">
        <v>1</v>
      </c>
      <c r="F163" s="11">
        <v>5.61482901751995</v>
      </c>
      <c r="G163" s="11">
        <v>0.419225</v>
      </c>
      <c r="H163" s="11">
        <v>13.393354445751</v>
      </c>
      <c r="I163" s="11">
        <v>0.4192</v>
      </c>
      <c r="J163" s="15">
        <v>0.999940366151828</v>
      </c>
      <c r="K163" s="11">
        <v>-73.504593003514</v>
      </c>
      <c r="L163" s="11">
        <v>14.1171469302972</v>
      </c>
      <c r="M163" s="15">
        <v>0.99468297221853</v>
      </c>
      <c r="N163" s="15">
        <v>0.99468297221853</v>
      </c>
      <c r="O163" s="15">
        <v>0.99468297221853</v>
      </c>
      <c r="P163" s="15">
        <v>0.99468297221853</v>
      </c>
      <c r="Q163" s="11">
        <v>63.6309678166667</v>
      </c>
      <c r="R163" s="11">
        <v>88.4525</v>
      </c>
      <c r="S163" s="15">
        <v>1</v>
      </c>
      <c r="T163" s="19">
        <v>10</v>
      </c>
      <c r="U163" s="19">
        <v>10</v>
      </c>
      <c r="V163" s="19">
        <v>0</v>
      </c>
      <c r="W163" s="15">
        <v>0</v>
      </c>
      <c r="X163" s="11">
        <v>66.8935935626911</v>
      </c>
      <c r="Y163" s="11">
        <v>99.6196</v>
      </c>
      <c r="Z163" s="15">
        <v>1</v>
      </c>
      <c r="AA163" s="19">
        <v>11</v>
      </c>
      <c r="AB163" s="19">
        <v>11</v>
      </c>
      <c r="AC163" s="19">
        <v>0</v>
      </c>
      <c r="AD163" s="15">
        <v>0</v>
      </c>
      <c r="AE163" s="11">
        <v>-75.3091740355308</v>
      </c>
      <c r="AF163" s="11">
        <v>14.2178518908039</v>
      </c>
      <c r="AG163" s="15">
        <v>0.99625468164794</v>
      </c>
      <c r="AH163" s="15">
        <v>0.99625468164794</v>
      </c>
      <c r="AI163" s="15">
        <v>0.99625468164794</v>
      </c>
      <c r="AJ163" s="15">
        <v>0.99625468164794</v>
      </c>
      <c r="AK163" s="11">
        <v>62.0044121127699</v>
      </c>
      <c r="AL163" s="11">
        <v>86.759341</v>
      </c>
      <c r="AM163" s="15">
        <v>1</v>
      </c>
      <c r="AN163" s="19">
        <v>10</v>
      </c>
      <c r="AO163" s="19">
        <v>10</v>
      </c>
      <c r="AP163" s="19">
        <v>0</v>
      </c>
      <c r="AQ163" s="15">
        <v>0</v>
      </c>
      <c r="AR163" s="11">
        <v>65.1901522729452</v>
      </c>
      <c r="AS163" s="11">
        <v>91.2885005</v>
      </c>
      <c r="AT163" s="15">
        <v>1</v>
      </c>
      <c r="AU163" s="19">
        <v>11</v>
      </c>
      <c r="AV163" s="19">
        <v>11</v>
      </c>
      <c r="AW163" s="19">
        <v>0</v>
      </c>
      <c r="AX163" s="15">
        <v>0</v>
      </c>
    </row>
    <row r="164" spans="1:50">
      <c r="A164" s="3" t="s">
        <v>44</v>
      </c>
      <c r="B164" s="3" t="s">
        <v>59</v>
      </c>
      <c r="C164" s="4" t="s">
        <v>49</v>
      </c>
      <c r="D164" s="5" t="s">
        <v>50</v>
      </c>
      <c r="E164" s="7">
        <v>3</v>
      </c>
      <c r="F164" s="10">
        <v>2.42</v>
      </c>
      <c r="G164" s="10">
        <v>0.624</v>
      </c>
      <c r="H164" s="10">
        <v>3.87820512820513</v>
      </c>
      <c r="I164" s="10">
        <v>0.624</v>
      </c>
      <c r="J164" s="14">
        <v>1</v>
      </c>
      <c r="K164" s="10">
        <v>-73.473016192521</v>
      </c>
      <c r="L164" s="10">
        <v>8.83120164609054</v>
      </c>
      <c r="M164" s="14">
        <v>0.936392914653784</v>
      </c>
      <c r="N164" s="14">
        <v>0.936392914653784</v>
      </c>
      <c r="O164" s="14">
        <v>0.936392914653784</v>
      </c>
      <c r="P164" s="14">
        <v>0.936392914653784</v>
      </c>
      <c r="Q164" s="10">
        <v>43.8314589127686</v>
      </c>
      <c r="R164" s="10">
        <v>68.121</v>
      </c>
      <c r="S164" s="14">
        <v>0.924146649810367</v>
      </c>
      <c r="T164" s="18">
        <v>26</v>
      </c>
      <c r="U164" s="18">
        <v>26</v>
      </c>
      <c r="V164" s="18">
        <v>0</v>
      </c>
      <c r="W164" s="14">
        <v>0</v>
      </c>
      <c r="X164" s="10">
        <v>15.4683333333333</v>
      </c>
      <c r="Y164" s="10">
        <v>17.294</v>
      </c>
      <c r="Z164" s="14">
        <v>0.994666666666667</v>
      </c>
      <c r="AA164" s="18">
        <v>25</v>
      </c>
      <c r="AB164" s="18">
        <v>25</v>
      </c>
      <c r="AC164" s="18">
        <v>0</v>
      </c>
      <c r="AD164" s="14">
        <v>0</v>
      </c>
      <c r="AE164" s="10">
        <v>-74.3150701754386</v>
      </c>
      <c r="AF164" s="10">
        <v>8.61480116959064</v>
      </c>
      <c r="AG164" s="14">
        <v>0.953216374269006</v>
      </c>
      <c r="AH164" s="14">
        <v>0.953216374269006</v>
      </c>
      <c r="AI164" s="14">
        <v>0.953216374269006</v>
      </c>
      <c r="AJ164" s="14">
        <v>0.953216374269006</v>
      </c>
      <c r="AK164" s="10">
        <v>42.7551492537313</v>
      </c>
      <c r="AL164" s="10">
        <v>64.333</v>
      </c>
      <c r="AM164" s="14">
        <v>0.970149253731343</v>
      </c>
      <c r="AN164" s="18">
        <v>26</v>
      </c>
      <c r="AO164" s="18">
        <v>26</v>
      </c>
      <c r="AP164" s="18">
        <v>0</v>
      </c>
      <c r="AQ164" s="14">
        <v>0</v>
      </c>
      <c r="AR164" s="10">
        <v>15.493</v>
      </c>
      <c r="AS164" s="10">
        <v>16.656</v>
      </c>
      <c r="AT164" s="14">
        <v>1</v>
      </c>
      <c r="AU164" s="18">
        <v>25</v>
      </c>
      <c r="AV164" s="18">
        <v>25</v>
      </c>
      <c r="AW164" s="18">
        <v>0</v>
      </c>
      <c r="AX164" s="14">
        <v>0</v>
      </c>
    </row>
    <row r="165" spans="1:50">
      <c r="A165" s="3" t="s">
        <v>51</v>
      </c>
      <c r="B165" s="4" t="s">
        <v>62</v>
      </c>
      <c r="C165" s="4" t="s">
        <v>46</v>
      </c>
      <c r="D165" s="4" t="s">
        <v>53</v>
      </c>
      <c r="E165" s="5">
        <v>1</v>
      </c>
      <c r="F165" s="11" t="s">
        <v>54</v>
      </c>
      <c r="G165" s="11">
        <v>0.382083333333333</v>
      </c>
      <c r="H165" s="11" t="s">
        <v>54</v>
      </c>
      <c r="I165" s="11">
        <v>0.382055555555556</v>
      </c>
      <c r="J165" s="15">
        <v>0.999927299163941</v>
      </c>
      <c r="K165" s="11">
        <v>-73.4027358148732</v>
      </c>
      <c r="L165" s="11">
        <v>22.2845526755533</v>
      </c>
      <c r="M165" s="15">
        <v>1</v>
      </c>
      <c r="N165" s="15">
        <v>1</v>
      </c>
      <c r="O165" s="15">
        <v>1</v>
      </c>
      <c r="P165" s="15">
        <v>1</v>
      </c>
      <c r="Q165" s="11">
        <v>70.2318950666667</v>
      </c>
      <c r="R165" s="11">
        <v>87.5992</v>
      </c>
      <c r="S165" s="15">
        <v>0.996666666666667</v>
      </c>
      <c r="T165" s="19">
        <v>10</v>
      </c>
      <c r="U165" s="19">
        <v>10</v>
      </c>
      <c r="V165" s="19">
        <v>0</v>
      </c>
      <c r="W165" s="15">
        <v>0</v>
      </c>
      <c r="X165" s="11">
        <v>73.4578399766667</v>
      </c>
      <c r="Y165" s="11">
        <v>87.5351</v>
      </c>
      <c r="Z165" s="15">
        <v>1</v>
      </c>
      <c r="AA165" s="19">
        <v>10</v>
      </c>
      <c r="AB165" s="19">
        <v>10</v>
      </c>
      <c r="AC165" s="19">
        <v>0</v>
      </c>
      <c r="AD165" s="15">
        <v>0</v>
      </c>
      <c r="AE165" s="11"/>
      <c r="AF165" s="11"/>
      <c r="AG165" s="15"/>
      <c r="AH165" s="15"/>
      <c r="AI165" s="15"/>
      <c r="AJ165" s="15"/>
      <c r="AK165" s="11"/>
      <c r="AL165" s="11"/>
      <c r="AM165" s="15"/>
      <c r="AN165" s="19"/>
      <c r="AO165" s="19"/>
      <c r="AP165" s="19"/>
      <c r="AQ165" s="15"/>
      <c r="AR165" s="11"/>
      <c r="AS165" s="11"/>
      <c r="AT165" s="15"/>
      <c r="AU165" s="19"/>
      <c r="AV165" s="19"/>
      <c r="AW165" s="19"/>
      <c r="AX165" s="15"/>
    </row>
    <row r="166" spans="1:50">
      <c r="A166" s="3" t="s">
        <v>51</v>
      </c>
      <c r="B166" s="5" t="s">
        <v>63</v>
      </c>
      <c r="C166" s="5" t="s">
        <v>46</v>
      </c>
      <c r="D166" s="5" t="s">
        <v>57</v>
      </c>
      <c r="E166" s="5">
        <v>3</v>
      </c>
      <c r="F166" s="11" t="s">
        <v>54</v>
      </c>
      <c r="G166" s="11">
        <v>0.372202777777778</v>
      </c>
      <c r="H166" s="11" t="s">
        <v>54</v>
      </c>
      <c r="I166" s="11">
        <v>0.372175</v>
      </c>
      <c r="J166" s="15">
        <v>0.999925369235706</v>
      </c>
      <c r="K166" s="11">
        <v>-73.2593592700272</v>
      </c>
      <c r="L166" s="11">
        <v>13.824942810528</v>
      </c>
      <c r="M166" s="15">
        <v>0.99985067940869</v>
      </c>
      <c r="N166" s="15">
        <v>1</v>
      </c>
      <c r="O166" s="15">
        <v>0.99985067940869</v>
      </c>
      <c r="P166" s="15">
        <v>1</v>
      </c>
      <c r="Q166" s="11">
        <v>44.1357184366667</v>
      </c>
      <c r="R166" s="11">
        <v>48.979</v>
      </c>
      <c r="S166" s="15">
        <v>1</v>
      </c>
      <c r="T166" s="19">
        <v>10</v>
      </c>
      <c r="U166" s="19">
        <v>10</v>
      </c>
      <c r="V166" s="19">
        <v>0</v>
      </c>
      <c r="W166" s="15">
        <v>0</v>
      </c>
      <c r="X166" s="11">
        <v>9.0694074</v>
      </c>
      <c r="Y166" s="11">
        <v>10.2811</v>
      </c>
      <c r="Z166" s="15">
        <v>1</v>
      </c>
      <c r="AA166" s="19">
        <v>10</v>
      </c>
      <c r="AB166" s="19">
        <v>10</v>
      </c>
      <c r="AC166" s="19">
        <v>0</v>
      </c>
      <c r="AD166" s="15">
        <v>0</v>
      </c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</row>
    <row r="167" spans="1:50">
      <c r="A167" s="3" t="s">
        <v>44</v>
      </c>
      <c r="B167" s="3" t="s">
        <v>45</v>
      </c>
      <c r="C167" s="4" t="s">
        <v>46</v>
      </c>
      <c r="D167" s="5" t="s">
        <v>53</v>
      </c>
      <c r="E167" s="7">
        <v>1</v>
      </c>
      <c r="F167" s="10"/>
      <c r="G167" s="10">
        <v>0.238</v>
      </c>
      <c r="H167" s="10"/>
      <c r="I167" s="10">
        <v>0.238</v>
      </c>
      <c r="J167" s="14">
        <v>1</v>
      </c>
      <c r="K167" s="10">
        <v>-73.2581722274436</v>
      </c>
      <c r="L167" s="10">
        <v>13.397149906015</v>
      </c>
      <c r="M167" s="14">
        <v>1</v>
      </c>
      <c r="N167" s="14">
        <v>1</v>
      </c>
      <c r="O167" s="14">
        <v>1</v>
      </c>
      <c r="P167" s="14">
        <v>1</v>
      </c>
      <c r="Q167" s="10">
        <v>66.3667081967213</v>
      </c>
      <c r="R167" s="10">
        <v>84.544</v>
      </c>
      <c r="S167" s="14">
        <v>0.983606557377049</v>
      </c>
      <c r="T167" s="18">
        <v>10</v>
      </c>
      <c r="U167" s="18">
        <v>10</v>
      </c>
      <c r="V167" s="18">
        <v>0</v>
      </c>
      <c r="W167" s="14">
        <v>0</v>
      </c>
      <c r="X167" s="10">
        <v>17.06822</v>
      </c>
      <c r="Y167" s="10">
        <v>18.6</v>
      </c>
      <c r="Z167" s="14">
        <v>1</v>
      </c>
      <c r="AA167" s="18">
        <v>10</v>
      </c>
      <c r="AB167" s="18">
        <v>10</v>
      </c>
      <c r="AC167" s="18">
        <v>0</v>
      </c>
      <c r="AD167" s="14">
        <v>0</v>
      </c>
      <c r="AE167" s="10"/>
      <c r="AF167" s="10"/>
      <c r="AG167" s="14"/>
      <c r="AH167" s="14"/>
      <c r="AI167" s="14"/>
      <c r="AJ167" s="14"/>
      <c r="AK167" s="10"/>
      <c r="AL167" s="10"/>
      <c r="AM167" s="14"/>
      <c r="AN167" s="18"/>
      <c r="AO167" s="18"/>
      <c r="AP167" s="18"/>
      <c r="AQ167" s="14"/>
      <c r="AR167" s="10"/>
      <c r="AS167" s="10"/>
      <c r="AT167" s="14"/>
      <c r="AU167" s="18"/>
      <c r="AV167" s="18"/>
      <c r="AW167" s="18"/>
      <c r="AX167" s="14"/>
    </row>
    <row r="168" spans="1:50">
      <c r="A168" s="3" t="s">
        <v>44</v>
      </c>
      <c r="B168" s="7" t="s">
        <v>60</v>
      </c>
      <c r="C168" s="4" t="s">
        <v>49</v>
      </c>
      <c r="D168" s="5" t="s">
        <v>50</v>
      </c>
      <c r="E168" s="7">
        <v>2</v>
      </c>
      <c r="F168" s="10">
        <v>2.611</v>
      </c>
      <c r="G168" s="10">
        <v>0.639</v>
      </c>
      <c r="H168" s="10">
        <v>4.08607198748044</v>
      </c>
      <c r="I168" s="10">
        <v>0.639</v>
      </c>
      <c r="J168" s="14">
        <v>1</v>
      </c>
      <c r="K168" s="10">
        <v>-73.2114904357067</v>
      </c>
      <c r="L168" s="10">
        <v>15.4396055260361</v>
      </c>
      <c r="M168" s="14">
        <v>0.997768331562168</v>
      </c>
      <c r="N168" s="14">
        <v>0.997768331562168</v>
      </c>
      <c r="O168" s="14">
        <v>0.997768331562168</v>
      </c>
      <c r="P168" s="14">
        <v>0.997768331562168</v>
      </c>
      <c r="Q168" s="10">
        <v>35.0212141951838</v>
      </c>
      <c r="R168" s="10">
        <v>60.534</v>
      </c>
      <c r="S168" s="14">
        <v>0.939163498098859</v>
      </c>
      <c r="T168" s="18">
        <v>26</v>
      </c>
      <c r="U168" s="18">
        <v>26</v>
      </c>
      <c r="V168" s="18">
        <v>0</v>
      </c>
      <c r="W168" s="14">
        <v>0</v>
      </c>
      <c r="X168" s="10">
        <v>18.9179864029666</v>
      </c>
      <c r="Y168" s="10">
        <v>23.147</v>
      </c>
      <c r="Z168" s="14">
        <v>0.991347342398022</v>
      </c>
      <c r="AA168" s="18">
        <v>27</v>
      </c>
      <c r="AB168" s="18">
        <v>27</v>
      </c>
      <c r="AC168" s="18">
        <v>0</v>
      </c>
      <c r="AD168" s="14">
        <v>0</v>
      </c>
      <c r="AE168" s="10">
        <v>-72.630880239521</v>
      </c>
      <c r="AF168" s="10">
        <v>15.725</v>
      </c>
      <c r="AG168" s="14">
        <v>1</v>
      </c>
      <c r="AH168" s="14">
        <v>1</v>
      </c>
      <c r="AI168" s="14">
        <v>1</v>
      </c>
      <c r="AJ168" s="14">
        <v>1</v>
      </c>
      <c r="AK168" s="10">
        <v>35.4494925373134</v>
      </c>
      <c r="AL168" s="10">
        <v>58.67</v>
      </c>
      <c r="AM168" s="14">
        <v>0.985074626865672</v>
      </c>
      <c r="AN168" s="18">
        <v>26</v>
      </c>
      <c r="AO168" s="18">
        <v>26</v>
      </c>
      <c r="AP168" s="18">
        <v>0</v>
      </c>
      <c r="AQ168" s="14">
        <v>0</v>
      </c>
      <c r="AR168" s="10">
        <v>18.8937424242424</v>
      </c>
      <c r="AS168" s="10">
        <v>22.066</v>
      </c>
      <c r="AT168" s="14">
        <v>1</v>
      </c>
      <c r="AU168" s="18">
        <v>27</v>
      </c>
      <c r="AV168" s="18">
        <v>27</v>
      </c>
      <c r="AW168" s="18">
        <v>0</v>
      </c>
      <c r="AX168" s="14">
        <v>0</v>
      </c>
    </row>
    <row r="169" spans="1:50">
      <c r="A169" s="3" t="s">
        <v>44</v>
      </c>
      <c r="B169" s="3" t="s">
        <v>56</v>
      </c>
      <c r="C169" s="4" t="s">
        <v>49</v>
      </c>
      <c r="D169" s="4" t="s">
        <v>64</v>
      </c>
      <c r="E169" s="4">
        <v>3</v>
      </c>
      <c r="F169" s="23">
        <v>260.072</v>
      </c>
      <c r="G169" s="10">
        <v>5.471</v>
      </c>
      <c r="H169" s="10">
        <v>47.5364649972583</v>
      </c>
      <c r="I169" s="10">
        <v>5.43034284745</v>
      </c>
      <c r="J169" s="14">
        <v>0.992567573456808</v>
      </c>
      <c r="K169" s="10">
        <v>-73.113215739415</v>
      </c>
      <c r="L169" s="10">
        <v>14.0564822177337</v>
      </c>
      <c r="M169" s="24">
        <v>0.956092679157324</v>
      </c>
      <c r="N169" s="25">
        <v>0.957688848351259</v>
      </c>
      <c r="O169" s="25">
        <v>0.964831765187155</v>
      </c>
      <c r="P169" s="25">
        <v>0.966442524033545</v>
      </c>
      <c r="Q169" s="23">
        <v>27.3062340718105</v>
      </c>
      <c r="R169" s="23">
        <v>60.387</v>
      </c>
      <c r="S169" s="25">
        <v>0.737509549274255</v>
      </c>
      <c r="T169" s="26">
        <v>218</v>
      </c>
      <c r="U169" s="26">
        <v>218</v>
      </c>
      <c r="V169" s="26">
        <v>0</v>
      </c>
      <c r="W169" s="25">
        <v>0</v>
      </c>
      <c r="X169" s="23">
        <v>18.9990889701402</v>
      </c>
      <c r="Y169" s="23">
        <v>30.095</v>
      </c>
      <c r="Z169" s="25">
        <v>0.955210237659963</v>
      </c>
      <c r="AA169" s="26">
        <v>221</v>
      </c>
      <c r="AB169" s="26">
        <v>221</v>
      </c>
      <c r="AC169" s="26">
        <v>0</v>
      </c>
      <c r="AD169" s="25">
        <v>0</v>
      </c>
      <c r="AE169" s="23">
        <v>-74.5673415558175</v>
      </c>
      <c r="AF169" s="23">
        <v>13.6723959420778</v>
      </c>
      <c r="AG169" s="25">
        <v>0.95144094619357</v>
      </c>
      <c r="AH169" s="25">
        <v>0.953689821755789</v>
      </c>
      <c r="AI169" s="25">
        <v>0.961693887859909</v>
      </c>
      <c r="AJ169" s="25">
        <v>0.963966997811079</v>
      </c>
      <c r="AK169" s="23">
        <v>27.7410924461413</v>
      </c>
      <c r="AL169" s="23">
        <v>60.604</v>
      </c>
      <c r="AM169" s="25">
        <v>0.747477502045269</v>
      </c>
      <c r="AN169" s="26">
        <v>218</v>
      </c>
      <c r="AO169" s="26">
        <v>218</v>
      </c>
      <c r="AP169" s="26">
        <v>0</v>
      </c>
      <c r="AQ169" s="25">
        <v>0</v>
      </c>
      <c r="AR169" s="23">
        <v>18.8239767987487</v>
      </c>
      <c r="AS169" s="23">
        <v>29.693</v>
      </c>
      <c r="AT169" s="25">
        <v>0.954640250260688</v>
      </c>
      <c r="AU169" s="26">
        <v>221</v>
      </c>
      <c r="AV169" s="26">
        <v>221</v>
      </c>
      <c r="AW169" s="26">
        <v>0</v>
      </c>
      <c r="AX169" s="25">
        <v>0</v>
      </c>
    </row>
    <row r="170" spans="1:50">
      <c r="A170" s="3" t="s">
        <v>44</v>
      </c>
      <c r="B170" s="7" t="s">
        <v>60</v>
      </c>
      <c r="C170" s="4" t="s">
        <v>46</v>
      </c>
      <c r="D170" s="5" t="s">
        <v>57</v>
      </c>
      <c r="E170" s="7">
        <v>1</v>
      </c>
      <c r="F170" s="10"/>
      <c r="G170" s="10">
        <v>0.236</v>
      </c>
      <c r="H170" s="10"/>
      <c r="I170" s="10">
        <v>0.236</v>
      </c>
      <c r="J170" s="14">
        <v>1</v>
      </c>
      <c r="K170" s="10">
        <v>-72.8411256175018</v>
      </c>
      <c r="L170" s="10">
        <v>8.46744507174782</v>
      </c>
      <c r="M170" s="14">
        <v>1</v>
      </c>
      <c r="N170" s="14">
        <v>1</v>
      </c>
      <c r="O170" s="14">
        <v>1</v>
      </c>
      <c r="P170" s="14">
        <v>1</v>
      </c>
      <c r="Q170" s="10">
        <v>58.9693618421053</v>
      </c>
      <c r="R170" s="10">
        <v>64.753</v>
      </c>
      <c r="S170" s="14">
        <v>1</v>
      </c>
      <c r="T170" s="18">
        <v>10</v>
      </c>
      <c r="U170" s="18">
        <v>10</v>
      </c>
      <c r="V170" s="18">
        <v>0</v>
      </c>
      <c r="W170" s="14">
        <v>0</v>
      </c>
      <c r="X170" s="10">
        <v>23.97785</v>
      </c>
      <c r="Y170" s="10">
        <v>28.65</v>
      </c>
      <c r="Z170" s="14">
        <v>1</v>
      </c>
      <c r="AA170" s="18">
        <v>10</v>
      </c>
      <c r="AB170" s="18">
        <v>10</v>
      </c>
      <c r="AC170" s="18">
        <v>0</v>
      </c>
      <c r="AD170" s="14">
        <v>0</v>
      </c>
      <c r="AE170" s="10"/>
      <c r="AF170" s="10"/>
      <c r="AG170" s="14"/>
      <c r="AH170" s="14"/>
      <c r="AI170" s="14"/>
      <c r="AJ170" s="14"/>
      <c r="AK170" s="10"/>
      <c r="AL170" s="10"/>
      <c r="AM170" s="14"/>
      <c r="AN170" s="18"/>
      <c r="AO170" s="18"/>
      <c r="AP170" s="18"/>
      <c r="AQ170" s="14"/>
      <c r="AR170" s="10"/>
      <c r="AS170" s="10"/>
      <c r="AT170" s="14"/>
      <c r="AU170" s="18"/>
      <c r="AV170" s="18"/>
      <c r="AW170" s="18"/>
      <c r="AX170" s="14"/>
    </row>
    <row r="171" spans="1:50">
      <c r="A171" s="3" t="s">
        <v>44</v>
      </c>
      <c r="B171" s="3" t="s">
        <v>56</v>
      </c>
      <c r="C171" s="4" t="s">
        <v>49</v>
      </c>
      <c r="D171" s="4" t="s">
        <v>64</v>
      </c>
      <c r="E171" s="4">
        <v>2</v>
      </c>
      <c r="F171" s="23">
        <v>260.072</v>
      </c>
      <c r="G171" s="10">
        <v>5.47</v>
      </c>
      <c r="H171" s="10">
        <v>47.5424131627057</v>
      </c>
      <c r="I171" s="10">
        <v>5.40344284715</v>
      </c>
      <c r="J171" s="14">
        <v>0.987832175338429</v>
      </c>
      <c r="K171" s="10">
        <v>-72.4294804554703</v>
      </c>
      <c r="L171" s="10">
        <v>13.6452011197189</v>
      </c>
      <c r="M171" s="24">
        <v>0.971256808138938</v>
      </c>
      <c r="N171" s="25">
        <v>0.971256808138938</v>
      </c>
      <c r="O171" s="25">
        <v>0.973086783283742</v>
      </c>
      <c r="P171" s="25">
        <v>0.973086783283742</v>
      </c>
      <c r="Q171" s="23">
        <v>59.2338498824912</v>
      </c>
      <c r="R171" s="23">
        <v>85.579</v>
      </c>
      <c r="S171" s="25">
        <v>0.982373678025852</v>
      </c>
      <c r="T171" s="26">
        <v>224</v>
      </c>
      <c r="U171" s="26">
        <v>224</v>
      </c>
      <c r="V171" s="26">
        <v>0</v>
      </c>
      <c r="W171" s="25">
        <v>0</v>
      </c>
      <c r="X171" s="23">
        <v>35.2236341573034</v>
      </c>
      <c r="Y171" s="23">
        <v>56.896</v>
      </c>
      <c r="Z171" s="25">
        <v>0.995056179775281</v>
      </c>
      <c r="AA171" s="26">
        <v>223</v>
      </c>
      <c r="AB171" s="26">
        <v>223</v>
      </c>
      <c r="AC171" s="26">
        <v>0</v>
      </c>
      <c r="AD171" s="25">
        <v>0</v>
      </c>
      <c r="AE171" s="23">
        <v>-65.8571476993865</v>
      </c>
      <c r="AF171" s="23">
        <v>11.3451210122699</v>
      </c>
      <c r="AG171" s="25">
        <v>0.976827776078311</v>
      </c>
      <c r="AH171" s="25">
        <v>0.976827776078311</v>
      </c>
      <c r="AI171" s="25">
        <v>0.9795245398773</v>
      </c>
      <c r="AJ171" s="25">
        <v>0.9795245398773</v>
      </c>
      <c r="AK171" s="23">
        <v>60.8450429384377</v>
      </c>
      <c r="AL171" s="23">
        <v>86.135</v>
      </c>
      <c r="AM171" s="25">
        <v>0.994309363683394</v>
      </c>
      <c r="AN171" s="26">
        <v>224</v>
      </c>
      <c r="AO171" s="26">
        <v>224</v>
      </c>
      <c r="AP171" s="26">
        <v>0</v>
      </c>
      <c r="AQ171" s="25">
        <v>0</v>
      </c>
      <c r="AR171" s="23">
        <v>36.7134452160494</v>
      </c>
      <c r="AS171" s="23">
        <v>59.853</v>
      </c>
      <c r="AT171" s="25">
        <v>0.99537037037037</v>
      </c>
      <c r="AU171" s="26">
        <v>223</v>
      </c>
      <c r="AV171" s="26">
        <v>223</v>
      </c>
      <c r="AW171" s="26">
        <v>0</v>
      </c>
      <c r="AX171" s="25">
        <v>0</v>
      </c>
    </row>
    <row r="172" spans="1:50">
      <c r="A172" s="3" t="s">
        <v>44</v>
      </c>
      <c r="B172" s="3" t="s">
        <v>56</v>
      </c>
      <c r="C172" s="4" t="s">
        <v>46</v>
      </c>
      <c r="D172" s="5" t="s">
        <v>53</v>
      </c>
      <c r="E172" s="7">
        <v>2</v>
      </c>
      <c r="F172" s="10"/>
      <c r="G172" s="10">
        <v>0.243</v>
      </c>
      <c r="H172" s="10"/>
      <c r="I172" s="10">
        <v>0.243</v>
      </c>
      <c r="J172" s="14">
        <v>1</v>
      </c>
      <c r="K172" s="10">
        <v>-72.3766396446419</v>
      </c>
      <c r="L172" s="10">
        <v>17.0281918378679</v>
      </c>
      <c r="M172" s="14">
        <v>1</v>
      </c>
      <c r="N172" s="14">
        <v>1</v>
      </c>
      <c r="O172" s="14">
        <v>1</v>
      </c>
      <c r="P172" s="14">
        <v>1</v>
      </c>
      <c r="Q172" s="10">
        <v>68.4184356435644</v>
      </c>
      <c r="R172" s="10">
        <v>76.81</v>
      </c>
      <c r="S172" s="14">
        <v>0.99009900990099</v>
      </c>
      <c r="T172" s="18">
        <v>10</v>
      </c>
      <c r="U172" s="18">
        <v>10</v>
      </c>
      <c r="V172" s="18">
        <v>0</v>
      </c>
      <c r="W172" s="14">
        <v>0</v>
      </c>
      <c r="X172" s="10">
        <v>29.3479233333333</v>
      </c>
      <c r="Y172" s="10">
        <v>31.214</v>
      </c>
      <c r="Z172" s="14">
        <v>1</v>
      </c>
      <c r="AA172" s="18">
        <v>10</v>
      </c>
      <c r="AB172" s="18">
        <v>10</v>
      </c>
      <c r="AC172" s="18">
        <v>0</v>
      </c>
      <c r="AD172" s="14">
        <v>0</v>
      </c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</row>
    <row r="173" spans="1:50">
      <c r="A173" s="3" t="s">
        <v>44</v>
      </c>
      <c r="B173" s="3" t="s">
        <v>45</v>
      </c>
      <c r="C173" s="8" t="s">
        <v>49</v>
      </c>
      <c r="D173" s="5" t="s">
        <v>50</v>
      </c>
      <c r="E173" s="7">
        <v>2</v>
      </c>
      <c r="F173" s="10">
        <v>2.794</v>
      </c>
      <c r="G173" s="10">
        <v>0.966</v>
      </c>
      <c r="H173" s="10">
        <v>2.89233954451346</v>
      </c>
      <c r="I173" s="10">
        <v>0.966</v>
      </c>
      <c r="J173" s="14">
        <v>1</v>
      </c>
      <c r="K173" s="10">
        <v>-72.2330769673926</v>
      </c>
      <c r="L173" s="10">
        <v>10.7309768982602</v>
      </c>
      <c r="M173" s="14">
        <v>0.992568268233668</v>
      </c>
      <c r="N173" s="14">
        <v>0.992568268233668</v>
      </c>
      <c r="O173" s="14">
        <v>0.992568268233668</v>
      </c>
      <c r="P173" s="14">
        <v>0.992568268233668</v>
      </c>
      <c r="Q173" s="10">
        <v>37.3734689403167</v>
      </c>
      <c r="R173" s="10">
        <v>60.775</v>
      </c>
      <c r="S173" s="14">
        <v>0.957369062119367</v>
      </c>
      <c r="T173" s="18">
        <v>27</v>
      </c>
      <c r="U173" s="18">
        <v>27</v>
      </c>
      <c r="V173" s="18">
        <v>0</v>
      </c>
      <c r="W173" s="14">
        <v>0</v>
      </c>
      <c r="X173" s="10">
        <v>14.1955738125802</v>
      </c>
      <c r="Y173" s="10">
        <v>15.564</v>
      </c>
      <c r="Z173" s="14">
        <v>1</v>
      </c>
      <c r="AA173" s="18">
        <v>26</v>
      </c>
      <c r="AB173" s="18">
        <v>26</v>
      </c>
      <c r="AC173" s="18">
        <v>0</v>
      </c>
      <c r="AD173" s="14">
        <v>0</v>
      </c>
      <c r="AE173" s="10">
        <v>-73.9319661016949</v>
      </c>
      <c r="AF173" s="10">
        <v>9.2683220338983</v>
      </c>
      <c r="AG173" s="14">
        <v>1</v>
      </c>
      <c r="AH173" s="14">
        <v>1</v>
      </c>
      <c r="AI173" s="14">
        <v>1</v>
      </c>
      <c r="AJ173" s="14">
        <v>1</v>
      </c>
      <c r="AK173" s="10">
        <v>37.8601904761905</v>
      </c>
      <c r="AL173" s="10">
        <v>58.615</v>
      </c>
      <c r="AM173" s="14">
        <v>0.984126984126984</v>
      </c>
      <c r="AN173" s="18">
        <v>27</v>
      </c>
      <c r="AO173" s="18">
        <v>27</v>
      </c>
      <c r="AP173" s="18">
        <v>0</v>
      </c>
      <c r="AQ173" s="14">
        <v>0</v>
      </c>
      <c r="AR173" s="10">
        <v>14.1491</v>
      </c>
      <c r="AS173" s="10">
        <v>15.024</v>
      </c>
      <c r="AT173" s="14">
        <v>1</v>
      </c>
      <c r="AU173" s="18">
        <v>26</v>
      </c>
      <c r="AV173" s="18">
        <v>26</v>
      </c>
      <c r="AW173" s="18">
        <v>0</v>
      </c>
      <c r="AX173" s="14">
        <v>0</v>
      </c>
    </row>
    <row r="174" spans="1:50">
      <c r="A174" s="3" t="s">
        <v>51</v>
      </c>
      <c r="B174" s="6" t="s">
        <v>55</v>
      </c>
      <c r="C174" s="6" t="s">
        <v>46</v>
      </c>
      <c r="D174" s="5" t="s">
        <v>57</v>
      </c>
      <c r="E174" s="5">
        <v>2</v>
      </c>
      <c r="F174" s="11" t="s">
        <v>54</v>
      </c>
      <c r="G174" s="11">
        <v>0.376083333333333</v>
      </c>
      <c r="H174" s="11" t="s">
        <v>54</v>
      </c>
      <c r="I174" s="11">
        <v>0.376075</v>
      </c>
      <c r="J174" s="15">
        <v>0.999977841790383</v>
      </c>
      <c r="K174" s="11">
        <v>-72.219129834937</v>
      </c>
      <c r="L174" s="11">
        <v>12.8684502246892</v>
      </c>
      <c r="M174" s="15">
        <v>0.999555752998667</v>
      </c>
      <c r="N174" s="15">
        <v>0.999555752998667</v>
      </c>
      <c r="O174" s="15">
        <v>0.999555752998667</v>
      </c>
      <c r="P174" s="15">
        <v>0.999555752998667</v>
      </c>
      <c r="Q174" s="11">
        <v>53.0828805866667</v>
      </c>
      <c r="R174" s="11">
        <v>76.519</v>
      </c>
      <c r="S174" s="15">
        <v>0.973333333333333</v>
      </c>
      <c r="T174" s="19">
        <v>10</v>
      </c>
      <c r="U174" s="19">
        <v>10</v>
      </c>
      <c r="V174" s="19">
        <v>0</v>
      </c>
      <c r="W174" s="15">
        <v>0</v>
      </c>
      <c r="X174" s="11">
        <v>29.14552617</v>
      </c>
      <c r="Y174" s="11">
        <v>31.1647</v>
      </c>
      <c r="Z174" s="15">
        <v>1</v>
      </c>
      <c r="AA174" s="19">
        <v>10</v>
      </c>
      <c r="AB174" s="19">
        <v>10</v>
      </c>
      <c r="AC174" s="19">
        <v>0</v>
      </c>
      <c r="AD174" s="15">
        <v>0</v>
      </c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</row>
    <row r="175" spans="1:50">
      <c r="A175" s="3" t="s">
        <v>44</v>
      </c>
      <c r="B175" s="3" t="s">
        <v>59</v>
      </c>
      <c r="C175" s="4" t="s">
        <v>46</v>
      </c>
      <c r="D175" s="5" t="s">
        <v>53</v>
      </c>
      <c r="E175" s="7">
        <v>1</v>
      </c>
      <c r="F175" s="10"/>
      <c r="G175" s="10">
        <v>0.24</v>
      </c>
      <c r="H175" s="10"/>
      <c r="I175" s="10">
        <v>0.24</v>
      </c>
      <c r="J175" s="14">
        <v>1</v>
      </c>
      <c r="K175" s="10">
        <v>-72.1899700973574</v>
      </c>
      <c r="L175" s="10">
        <v>17.3963421418637</v>
      </c>
      <c r="M175" s="14">
        <v>1</v>
      </c>
      <c r="N175" s="14">
        <v>1</v>
      </c>
      <c r="O175" s="14">
        <v>1</v>
      </c>
      <c r="P175" s="14">
        <v>1</v>
      </c>
      <c r="Q175" s="10">
        <v>100.506706270627</v>
      </c>
      <c r="R175" s="10">
        <v>111.254</v>
      </c>
      <c r="S175" s="14">
        <v>0.99009900990099</v>
      </c>
      <c r="T175" s="18">
        <v>10</v>
      </c>
      <c r="U175" s="18">
        <v>10</v>
      </c>
      <c r="V175" s="18">
        <v>0</v>
      </c>
      <c r="W175" s="14">
        <v>0</v>
      </c>
      <c r="X175" s="10">
        <v>81.0821666666667</v>
      </c>
      <c r="Y175" s="10">
        <v>91.837</v>
      </c>
      <c r="Z175" s="14">
        <v>1</v>
      </c>
      <c r="AA175" s="18">
        <v>10</v>
      </c>
      <c r="AB175" s="18">
        <v>10</v>
      </c>
      <c r="AC175" s="18">
        <v>0</v>
      </c>
      <c r="AD175" s="14">
        <v>0</v>
      </c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</row>
    <row r="176" spans="1:50">
      <c r="A176" s="3" t="s">
        <v>44</v>
      </c>
      <c r="B176" s="3" t="s">
        <v>59</v>
      </c>
      <c r="C176" s="4" t="s">
        <v>46</v>
      </c>
      <c r="D176" s="5" t="s">
        <v>53</v>
      </c>
      <c r="E176" s="7">
        <v>1</v>
      </c>
      <c r="F176" s="10"/>
      <c r="G176" s="10">
        <v>0.241</v>
      </c>
      <c r="H176" s="10"/>
      <c r="I176" s="10">
        <v>0.241</v>
      </c>
      <c r="J176" s="14">
        <v>1</v>
      </c>
      <c r="K176" s="10">
        <v>-72.1653204330799</v>
      </c>
      <c r="L176" s="10">
        <v>25.1450234968901</v>
      </c>
      <c r="M176" s="14">
        <v>1</v>
      </c>
      <c r="N176" s="14">
        <v>1</v>
      </c>
      <c r="O176" s="14">
        <v>1</v>
      </c>
      <c r="P176" s="14">
        <v>1</v>
      </c>
      <c r="Q176" s="10">
        <v>87.1113267973856</v>
      </c>
      <c r="R176" s="10">
        <v>101.406</v>
      </c>
      <c r="S176" s="14">
        <v>0.993464052287582</v>
      </c>
      <c r="T176" s="18">
        <v>10</v>
      </c>
      <c r="U176" s="18">
        <v>10</v>
      </c>
      <c r="V176" s="18">
        <v>0</v>
      </c>
      <c r="W176" s="14">
        <v>0</v>
      </c>
      <c r="X176" s="10">
        <v>75.76054</v>
      </c>
      <c r="Y176" s="10">
        <v>86.09</v>
      </c>
      <c r="Z176" s="14">
        <v>1</v>
      </c>
      <c r="AA176" s="18">
        <v>10</v>
      </c>
      <c r="AB176" s="18">
        <v>10</v>
      </c>
      <c r="AC176" s="18">
        <v>0</v>
      </c>
      <c r="AD176" s="14">
        <v>0</v>
      </c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</row>
    <row r="177" spans="1:50">
      <c r="A177" s="3" t="s">
        <v>51</v>
      </c>
      <c r="B177" s="5" t="s">
        <v>63</v>
      </c>
      <c r="C177" s="6" t="s">
        <v>49</v>
      </c>
      <c r="D177" s="6" t="s">
        <v>61</v>
      </c>
      <c r="E177" s="5">
        <v>3</v>
      </c>
      <c r="F177" s="11">
        <v>2.03014532768726</v>
      </c>
      <c r="G177" s="11">
        <v>0.497897222222222</v>
      </c>
      <c r="H177" s="11">
        <v>4.07743854971974</v>
      </c>
      <c r="I177" s="11">
        <v>0.497872222222222</v>
      </c>
      <c r="J177" s="15">
        <v>0.999949788834153</v>
      </c>
      <c r="K177" s="11">
        <v>-72.0090629918997</v>
      </c>
      <c r="L177" s="11">
        <v>15.1623882895893</v>
      </c>
      <c r="M177" s="15">
        <v>0.996979865771812</v>
      </c>
      <c r="N177" s="15">
        <v>0.996979865771812</v>
      </c>
      <c r="O177" s="15">
        <v>0.996979865771812</v>
      </c>
      <c r="P177" s="15">
        <v>0.996979865771812</v>
      </c>
      <c r="Q177" s="11">
        <v>30.0748060286396</v>
      </c>
      <c r="R177" s="11">
        <v>50.4705</v>
      </c>
      <c r="S177" s="15">
        <v>0.926014319809069</v>
      </c>
      <c r="T177" s="19">
        <v>14</v>
      </c>
      <c r="U177" s="19">
        <v>14</v>
      </c>
      <c r="V177" s="19">
        <v>0</v>
      </c>
      <c r="W177" s="15">
        <v>0</v>
      </c>
      <c r="X177" s="11">
        <v>11.6767480238095</v>
      </c>
      <c r="Y177" s="11">
        <v>14.08</v>
      </c>
      <c r="Z177" s="15">
        <v>1</v>
      </c>
      <c r="AA177" s="19">
        <v>14</v>
      </c>
      <c r="AB177" s="19">
        <v>14</v>
      </c>
      <c r="AC177" s="19">
        <v>0</v>
      </c>
      <c r="AD177" s="15">
        <v>0</v>
      </c>
      <c r="AE177" s="11">
        <v>-71.7853859839894</v>
      </c>
      <c r="AF177" s="11">
        <v>15.0043769323514</v>
      </c>
      <c r="AG177" s="15">
        <v>1</v>
      </c>
      <c r="AH177" s="15">
        <v>1</v>
      </c>
      <c r="AI177" s="15">
        <v>1</v>
      </c>
      <c r="AJ177" s="15">
        <v>1</v>
      </c>
      <c r="AK177" s="11">
        <v>29.6998123621632</v>
      </c>
      <c r="AL177" s="11">
        <v>50.1810303333333</v>
      </c>
      <c r="AM177" s="15">
        <v>0.966666666666667</v>
      </c>
      <c r="AN177" s="19">
        <v>14</v>
      </c>
      <c r="AO177" s="19">
        <v>14</v>
      </c>
      <c r="AP177" s="19">
        <v>0</v>
      </c>
      <c r="AQ177" s="15">
        <v>0</v>
      </c>
      <c r="AR177" s="11">
        <v>11.6819401921522</v>
      </c>
      <c r="AS177" s="11">
        <v>13.4536533529412</v>
      </c>
      <c r="AT177" s="15">
        <v>1</v>
      </c>
      <c r="AU177" s="19">
        <v>14</v>
      </c>
      <c r="AV177" s="19">
        <v>14</v>
      </c>
      <c r="AW177" s="19">
        <v>0</v>
      </c>
      <c r="AX177" s="15">
        <v>0</v>
      </c>
    </row>
    <row r="178" spans="1:50">
      <c r="A178" s="3" t="s">
        <v>44</v>
      </c>
      <c r="B178" s="3" t="s">
        <v>48</v>
      </c>
      <c r="C178" s="4" t="s">
        <v>46</v>
      </c>
      <c r="D178" s="5" t="s">
        <v>53</v>
      </c>
      <c r="E178" s="7">
        <v>1</v>
      </c>
      <c r="F178" s="10"/>
      <c r="G178" s="10">
        <v>0.257</v>
      </c>
      <c r="H178" s="10"/>
      <c r="I178" s="10">
        <v>0.257</v>
      </c>
      <c r="J178" s="14">
        <v>1</v>
      </c>
      <c r="K178" s="10">
        <v>-71.9526490426458</v>
      </c>
      <c r="L178" s="10">
        <v>10.4025282854656</v>
      </c>
      <c r="M178" s="14">
        <v>1</v>
      </c>
      <c r="N178" s="14">
        <v>1</v>
      </c>
      <c r="O178" s="14">
        <v>1</v>
      </c>
      <c r="P178" s="14">
        <v>1</v>
      </c>
      <c r="Q178" s="10">
        <v>76.5819537953795</v>
      </c>
      <c r="R178" s="10">
        <v>91.741</v>
      </c>
      <c r="S178" s="14">
        <v>0.99009900990099</v>
      </c>
      <c r="T178" s="18">
        <v>10</v>
      </c>
      <c r="U178" s="18">
        <v>10</v>
      </c>
      <c r="V178" s="18">
        <v>0</v>
      </c>
      <c r="W178" s="14">
        <v>0</v>
      </c>
      <c r="X178" s="10">
        <v>57.5983333333333</v>
      </c>
      <c r="Y178" s="10">
        <v>73.002</v>
      </c>
      <c r="Z178" s="14">
        <v>1</v>
      </c>
      <c r="AA178" s="18">
        <v>10</v>
      </c>
      <c r="AB178" s="18">
        <v>10</v>
      </c>
      <c r="AC178" s="18">
        <v>0</v>
      </c>
      <c r="AD178" s="14">
        <v>0</v>
      </c>
      <c r="AE178" s="10"/>
      <c r="AF178" s="10"/>
      <c r="AG178" s="14"/>
      <c r="AH178" s="14"/>
      <c r="AI178" s="14"/>
      <c r="AJ178" s="14"/>
      <c r="AK178" s="10"/>
      <c r="AL178" s="10"/>
      <c r="AM178" s="14"/>
      <c r="AN178" s="18"/>
      <c r="AO178" s="18"/>
      <c r="AP178" s="18"/>
      <c r="AQ178" s="14"/>
      <c r="AR178" s="10"/>
      <c r="AS178" s="10"/>
      <c r="AT178" s="14"/>
      <c r="AU178" s="18"/>
      <c r="AV178" s="18"/>
      <c r="AW178" s="18"/>
      <c r="AX178" s="14"/>
    </row>
    <row r="179" spans="1:50">
      <c r="A179" s="3" t="s">
        <v>51</v>
      </c>
      <c r="B179" s="4" t="s">
        <v>58</v>
      </c>
      <c r="C179" s="6" t="s">
        <v>49</v>
      </c>
      <c r="D179" s="6" t="s">
        <v>50</v>
      </c>
      <c r="E179" s="4">
        <v>3</v>
      </c>
      <c r="F179" s="11">
        <v>5.07167007052898</v>
      </c>
      <c r="G179" s="11">
        <v>0.584836111111111</v>
      </c>
      <c r="H179" s="11">
        <v>8.67195095202566</v>
      </c>
      <c r="I179" s="11">
        <v>0.579194444444444</v>
      </c>
      <c r="J179" s="15">
        <v>0.990353422848756</v>
      </c>
      <c r="K179" s="11">
        <v>-71.9169701071822</v>
      </c>
      <c r="L179" s="11">
        <v>10.9255847642407</v>
      </c>
      <c r="M179" s="15">
        <v>0.959786544692205</v>
      </c>
      <c r="N179" s="15">
        <v>0.959881837240328</v>
      </c>
      <c r="O179" s="15">
        <v>0.969113826614067</v>
      </c>
      <c r="P179" s="15">
        <v>0.969210045222746</v>
      </c>
      <c r="Q179" s="11">
        <v>26.6157074559471</v>
      </c>
      <c r="R179" s="11">
        <v>59.2317</v>
      </c>
      <c r="S179" s="15">
        <v>0.753303964757709</v>
      </c>
      <c r="T179" s="19">
        <v>15</v>
      </c>
      <c r="U179" s="19">
        <v>15</v>
      </c>
      <c r="V179" s="19">
        <v>0</v>
      </c>
      <c r="W179" s="15">
        <v>0</v>
      </c>
      <c r="X179" s="11">
        <v>15.1864238727679</v>
      </c>
      <c r="Y179" s="11">
        <v>20.8626</v>
      </c>
      <c r="Z179" s="15">
        <v>1</v>
      </c>
      <c r="AA179" s="19">
        <v>16</v>
      </c>
      <c r="AB179" s="19">
        <v>16</v>
      </c>
      <c r="AC179" s="19">
        <v>0</v>
      </c>
      <c r="AD179" s="15">
        <v>0</v>
      </c>
      <c r="AE179" s="11">
        <v>-72.553163605828</v>
      </c>
      <c r="AF179" s="11">
        <v>11.166896308781</v>
      </c>
      <c r="AG179" s="15">
        <v>0.978070175438597</v>
      </c>
      <c r="AH179" s="15">
        <v>0.978070175438597</v>
      </c>
      <c r="AI179" s="15">
        <v>0.986725663716814</v>
      </c>
      <c r="AJ179" s="15">
        <v>0.986725663716814</v>
      </c>
      <c r="AK179" s="11">
        <v>27.4837899667623</v>
      </c>
      <c r="AL179" s="11">
        <v>59.4207206666667</v>
      </c>
      <c r="AM179" s="15">
        <v>0.754385964912281</v>
      </c>
      <c r="AN179" s="19">
        <v>15</v>
      </c>
      <c r="AO179" s="19">
        <v>15</v>
      </c>
      <c r="AP179" s="19">
        <v>0</v>
      </c>
      <c r="AQ179" s="15">
        <v>0</v>
      </c>
      <c r="AR179" s="11">
        <v>15.1769562946866</v>
      </c>
      <c r="AS179" s="11">
        <v>21.0128228333333</v>
      </c>
      <c r="AT179" s="15">
        <v>1</v>
      </c>
      <c r="AU179" s="19">
        <v>16</v>
      </c>
      <c r="AV179" s="19">
        <v>16</v>
      </c>
      <c r="AW179" s="19">
        <v>0</v>
      </c>
      <c r="AX179" s="15">
        <v>0</v>
      </c>
    </row>
    <row r="180" spans="1:50">
      <c r="A180" s="3" t="s">
        <v>51</v>
      </c>
      <c r="B180" s="6" t="s">
        <v>55</v>
      </c>
      <c r="C180" s="6" t="s">
        <v>49</v>
      </c>
      <c r="D180" s="6" t="s">
        <v>61</v>
      </c>
      <c r="E180" s="6">
        <v>3</v>
      </c>
      <c r="F180" s="11">
        <v>2.15796139836311</v>
      </c>
      <c r="G180" s="11">
        <v>0.457444444444444</v>
      </c>
      <c r="H180" s="11">
        <v>4.71742836659413</v>
      </c>
      <c r="I180" s="11">
        <v>0.457413888888889</v>
      </c>
      <c r="J180" s="15">
        <v>0.999933203789167</v>
      </c>
      <c r="K180" s="11">
        <v>-71.8440179816679</v>
      </c>
      <c r="L180" s="11">
        <v>12.2083540250934</v>
      </c>
      <c r="M180" s="15">
        <v>0.975338786472958</v>
      </c>
      <c r="N180" s="15">
        <v>0.975338786472958</v>
      </c>
      <c r="O180" s="15">
        <v>0.975338786472958</v>
      </c>
      <c r="P180" s="15">
        <v>0.975338786472958</v>
      </c>
      <c r="Q180" s="11">
        <v>54.1878287060606</v>
      </c>
      <c r="R180" s="11">
        <v>86.9858</v>
      </c>
      <c r="S180" s="15">
        <v>0.978787878787879</v>
      </c>
      <c r="T180" s="19">
        <v>13</v>
      </c>
      <c r="U180" s="19">
        <v>11</v>
      </c>
      <c r="V180" s="19">
        <v>0</v>
      </c>
      <c r="W180" s="15">
        <v>0</v>
      </c>
      <c r="X180" s="11">
        <v>23.2498842611111</v>
      </c>
      <c r="Y180" s="11">
        <v>30.4</v>
      </c>
      <c r="Z180" s="15">
        <v>0.927777777777778</v>
      </c>
      <c r="AA180" s="19">
        <v>13</v>
      </c>
      <c r="AB180" s="19">
        <v>12</v>
      </c>
      <c r="AC180" s="19">
        <v>1</v>
      </c>
      <c r="AD180" s="15">
        <v>0.0833333333333333</v>
      </c>
      <c r="AE180" s="11">
        <v>-72.6431868730121</v>
      </c>
      <c r="AF180" s="11">
        <v>11.3723839065062</v>
      </c>
      <c r="AG180" s="15">
        <v>0.99</v>
      </c>
      <c r="AH180" s="15">
        <v>0.99</v>
      </c>
      <c r="AI180" s="15">
        <v>0.99</v>
      </c>
      <c r="AJ180" s="15">
        <v>0.99</v>
      </c>
      <c r="AK180" s="11">
        <v>54.4881866990499</v>
      </c>
      <c r="AL180" s="11">
        <v>82.5408622222222</v>
      </c>
      <c r="AM180" s="15">
        <v>1</v>
      </c>
      <c r="AN180" s="19">
        <v>13</v>
      </c>
      <c r="AO180" s="19">
        <v>11</v>
      </c>
      <c r="AP180" s="19">
        <v>0</v>
      </c>
      <c r="AQ180" s="15">
        <v>0</v>
      </c>
      <c r="AR180" s="11">
        <v>23.6916396596917</v>
      </c>
      <c r="AS180" s="11">
        <v>30.04932</v>
      </c>
      <c r="AT180" s="15">
        <v>0.972972972972973</v>
      </c>
      <c r="AU180" s="19">
        <v>13</v>
      </c>
      <c r="AV180" s="19">
        <v>12</v>
      </c>
      <c r="AW180" s="19">
        <v>1</v>
      </c>
      <c r="AX180" s="15">
        <v>0.0833333333333333</v>
      </c>
    </row>
    <row r="181" spans="1:50">
      <c r="A181" s="3" t="s">
        <v>51</v>
      </c>
      <c r="B181" s="6" t="s">
        <v>55</v>
      </c>
      <c r="C181" s="6" t="s">
        <v>49</v>
      </c>
      <c r="D181" s="6" t="s">
        <v>50</v>
      </c>
      <c r="E181" s="6">
        <v>1</v>
      </c>
      <c r="F181" s="11">
        <v>2.08588175290823</v>
      </c>
      <c r="G181" s="11">
        <v>0.564722222222222</v>
      </c>
      <c r="H181" s="11">
        <v>3.69364206122461</v>
      </c>
      <c r="I181" s="11">
        <v>0.31995</v>
      </c>
      <c r="J181" s="15">
        <v>0.566561731431382</v>
      </c>
      <c r="K181" s="11">
        <v>-71.8327621106272</v>
      </c>
      <c r="L181" s="11">
        <v>8.81313284796715</v>
      </c>
      <c r="M181" s="15">
        <v>0.528146183318597</v>
      </c>
      <c r="N181" s="15">
        <v>0.528146183318597</v>
      </c>
      <c r="O181" s="15">
        <v>0.929942916450441</v>
      </c>
      <c r="P181" s="15">
        <v>0.929942916450441</v>
      </c>
      <c r="Q181" s="11">
        <v>49.5035189832636</v>
      </c>
      <c r="R181" s="11">
        <v>100.557</v>
      </c>
      <c r="S181" s="15">
        <v>0.761506276150628</v>
      </c>
      <c r="T181" s="19">
        <v>16</v>
      </c>
      <c r="U181" s="19">
        <v>16</v>
      </c>
      <c r="V181" s="19">
        <v>0</v>
      </c>
      <c r="W181" s="15">
        <v>0</v>
      </c>
      <c r="X181" s="11">
        <v>45.21065163125</v>
      </c>
      <c r="Y181" s="11">
        <v>94.1742</v>
      </c>
      <c r="Z181" s="15">
        <v>0.991666666666667</v>
      </c>
      <c r="AA181" s="19">
        <v>17</v>
      </c>
      <c r="AB181" s="19">
        <v>17</v>
      </c>
      <c r="AC181" s="19">
        <v>0</v>
      </c>
      <c r="AD181" s="15">
        <v>0</v>
      </c>
      <c r="AE181" s="11">
        <v>-71.9230338248651</v>
      </c>
      <c r="AF181" s="11">
        <v>9.87198176475871</v>
      </c>
      <c r="AG181" s="15">
        <v>0.556818181818182</v>
      </c>
      <c r="AH181" s="15">
        <v>0.556818181818182</v>
      </c>
      <c r="AI181" s="15">
        <v>0.98</v>
      </c>
      <c r="AJ181" s="15">
        <v>0.98</v>
      </c>
      <c r="AK181" s="11">
        <v>47.9089681818099</v>
      </c>
      <c r="AL181" s="11">
        <v>92.3178342666667</v>
      </c>
      <c r="AM181" s="15">
        <v>0.735294117647059</v>
      </c>
      <c r="AN181" s="19">
        <v>16</v>
      </c>
      <c r="AO181" s="19">
        <v>16</v>
      </c>
      <c r="AP181" s="19">
        <v>0</v>
      </c>
      <c r="AQ181" s="15">
        <v>0</v>
      </c>
      <c r="AR181" s="11">
        <v>43.5982600142503</v>
      </c>
      <c r="AS181" s="11">
        <v>94.2083861666667</v>
      </c>
      <c r="AT181" s="15">
        <v>1</v>
      </c>
      <c r="AU181" s="19">
        <v>17</v>
      </c>
      <c r="AV181" s="19">
        <v>17</v>
      </c>
      <c r="AW181" s="19">
        <v>0</v>
      </c>
      <c r="AX181" s="15">
        <v>0</v>
      </c>
    </row>
    <row r="182" spans="1:50">
      <c r="A182" s="3" t="s">
        <v>44</v>
      </c>
      <c r="B182" s="3" t="s">
        <v>59</v>
      </c>
      <c r="C182" s="8" t="s">
        <v>49</v>
      </c>
      <c r="D182" s="8" t="s">
        <v>64</v>
      </c>
      <c r="E182" s="4">
        <v>1</v>
      </c>
      <c r="F182" s="10">
        <v>280.388</v>
      </c>
      <c r="G182" s="10">
        <v>5.98</v>
      </c>
      <c r="H182" s="10">
        <v>46.8876254180602</v>
      </c>
      <c r="I182" s="10">
        <v>5.98</v>
      </c>
      <c r="J182" s="14">
        <v>1</v>
      </c>
      <c r="K182" s="10">
        <v>-71.7925432682425</v>
      </c>
      <c r="L182" s="10">
        <v>17.5514036625245</v>
      </c>
      <c r="M182" s="14">
        <v>0.99206764458563</v>
      </c>
      <c r="N182" s="14">
        <v>0.992291880781089</v>
      </c>
      <c r="O182" s="14">
        <v>0.99206764458563</v>
      </c>
      <c r="P182" s="14">
        <v>0.992291880781089</v>
      </c>
      <c r="Q182" s="10">
        <v>67.865931356042</v>
      </c>
      <c r="R182" s="10">
        <v>93.433</v>
      </c>
      <c r="S182" s="14">
        <v>0.983292319647714</v>
      </c>
      <c r="T182" s="18">
        <v>254</v>
      </c>
      <c r="U182" s="18">
        <v>254</v>
      </c>
      <c r="V182" s="18">
        <v>0</v>
      </c>
      <c r="W182" s="14">
        <v>0</v>
      </c>
      <c r="X182" s="10">
        <v>60.3727914915966</v>
      </c>
      <c r="Y182" s="10">
        <v>80.798</v>
      </c>
      <c r="Z182" s="14">
        <v>0.998030462184874</v>
      </c>
      <c r="AA182" s="18">
        <v>254</v>
      </c>
      <c r="AB182" s="18">
        <v>254</v>
      </c>
      <c r="AC182" s="18">
        <v>0</v>
      </c>
      <c r="AD182" s="14">
        <v>0</v>
      </c>
      <c r="AE182" s="10">
        <v>-72.0435222206446</v>
      </c>
      <c r="AF182" s="10">
        <v>17.2334341899759</v>
      </c>
      <c r="AG182" s="14">
        <v>0.993539684793412</v>
      </c>
      <c r="AH182" s="14">
        <v>0.993965639642198</v>
      </c>
      <c r="AI182" s="14">
        <v>0.993539684793412</v>
      </c>
      <c r="AJ182" s="14">
        <v>0.993965639642198</v>
      </c>
      <c r="AK182" s="10">
        <v>66.4304028041825</v>
      </c>
      <c r="AL182" s="10">
        <v>90.225</v>
      </c>
      <c r="AM182" s="14">
        <v>0.994058935361217</v>
      </c>
      <c r="AN182" s="18">
        <v>254</v>
      </c>
      <c r="AO182" s="18">
        <v>254</v>
      </c>
      <c r="AP182" s="18">
        <v>0</v>
      </c>
      <c r="AQ182" s="14">
        <v>0</v>
      </c>
      <c r="AR182" s="10">
        <v>59.5155998094331</v>
      </c>
      <c r="AS182" s="10">
        <v>79.663</v>
      </c>
      <c r="AT182" s="14">
        <v>0.997379704621248</v>
      </c>
      <c r="AU182" s="18">
        <v>254</v>
      </c>
      <c r="AV182" s="18">
        <v>254</v>
      </c>
      <c r="AW182" s="18">
        <v>0</v>
      </c>
      <c r="AX182" s="14">
        <v>0</v>
      </c>
    </row>
    <row r="183" spans="1:50">
      <c r="A183" s="3" t="s">
        <v>44</v>
      </c>
      <c r="B183" s="3" t="s">
        <v>48</v>
      </c>
      <c r="C183" s="4" t="s">
        <v>49</v>
      </c>
      <c r="D183" s="4" t="s">
        <v>64</v>
      </c>
      <c r="E183" s="4">
        <v>2</v>
      </c>
      <c r="F183" s="10">
        <v>215.535</v>
      </c>
      <c r="G183" s="10">
        <v>6.275</v>
      </c>
      <c r="H183" s="10">
        <v>34.3482071713147</v>
      </c>
      <c r="I183" s="10">
        <v>6.02793574362</v>
      </c>
      <c r="J183" s="14">
        <v>0.960632695402681</v>
      </c>
      <c r="K183" s="10">
        <v>-71.7784895239184</v>
      </c>
      <c r="L183" s="10">
        <v>10.8121414070984</v>
      </c>
      <c r="M183" s="14">
        <v>0.913967600309398</v>
      </c>
      <c r="N183" s="14">
        <v>0.919850530008389</v>
      </c>
      <c r="O183" s="14">
        <v>0.958952963365148</v>
      </c>
      <c r="P183" s="14">
        <v>0.965125450077156</v>
      </c>
      <c r="Q183" s="10">
        <v>22.1857716081046</v>
      </c>
      <c r="R183" s="10">
        <v>46.183</v>
      </c>
      <c r="S183" s="14">
        <v>0.701718389330598</v>
      </c>
      <c r="T183" s="18">
        <v>264</v>
      </c>
      <c r="U183" s="18">
        <v>264</v>
      </c>
      <c r="V183" s="18">
        <v>0</v>
      </c>
      <c r="W183" s="14">
        <v>0</v>
      </c>
      <c r="X183" s="10">
        <v>16.3865077189247</v>
      </c>
      <c r="Y183" s="10">
        <v>28.251</v>
      </c>
      <c r="Z183" s="14">
        <v>0.950891668884749</v>
      </c>
      <c r="AA183" s="18">
        <v>263</v>
      </c>
      <c r="AB183" s="18">
        <v>263</v>
      </c>
      <c r="AC183" s="18">
        <v>0</v>
      </c>
      <c r="AD183" s="14">
        <v>0</v>
      </c>
      <c r="AE183" s="10">
        <v>-72.0282223606353</v>
      </c>
      <c r="AF183" s="10">
        <v>10.0608934911243</v>
      </c>
      <c r="AG183" s="14">
        <v>0.911340820991949</v>
      </c>
      <c r="AH183" s="14">
        <v>0.916211112215486</v>
      </c>
      <c r="AI183" s="14">
        <v>0.951832243330219</v>
      </c>
      <c r="AJ183" s="14">
        <v>0.956918924530261</v>
      </c>
      <c r="AK183" s="10">
        <v>20.9940091051805</v>
      </c>
      <c r="AL183" s="10">
        <v>43.93</v>
      </c>
      <c r="AM183" s="14">
        <v>0.692307692307692</v>
      </c>
      <c r="AN183" s="18">
        <v>264</v>
      </c>
      <c r="AO183" s="18">
        <v>264</v>
      </c>
      <c r="AP183" s="18">
        <v>0</v>
      </c>
      <c r="AQ183" s="14">
        <v>0</v>
      </c>
      <c r="AR183" s="10">
        <v>15.5324385586695</v>
      </c>
      <c r="AS183" s="10">
        <v>26.883</v>
      </c>
      <c r="AT183" s="14">
        <v>0.941484447182014</v>
      </c>
      <c r="AU183" s="18">
        <v>263</v>
      </c>
      <c r="AV183" s="18">
        <v>263</v>
      </c>
      <c r="AW183" s="18">
        <v>0</v>
      </c>
      <c r="AX183" s="14">
        <v>0</v>
      </c>
    </row>
    <row r="184" spans="1:50">
      <c r="A184" s="3" t="s">
        <v>44</v>
      </c>
      <c r="B184" s="3" t="s">
        <v>48</v>
      </c>
      <c r="C184" s="4" t="s">
        <v>49</v>
      </c>
      <c r="D184" s="4" t="s">
        <v>64</v>
      </c>
      <c r="E184" s="4">
        <v>3</v>
      </c>
      <c r="F184" s="10">
        <v>215.535</v>
      </c>
      <c r="G184" s="10">
        <v>6.274</v>
      </c>
      <c r="H184" s="10">
        <v>34.3536818616513</v>
      </c>
      <c r="I184" s="10">
        <v>6.0757872625</v>
      </c>
      <c r="J184" s="14">
        <v>0.968400751347252</v>
      </c>
      <c r="K184" s="10">
        <v>-71.5864808593444</v>
      </c>
      <c r="L184" s="10">
        <v>10.7457476206985</v>
      </c>
      <c r="M184" s="14">
        <v>0.919661210301445</v>
      </c>
      <c r="N184" s="14">
        <v>0.924041369364715</v>
      </c>
      <c r="O184" s="14">
        <v>0.955679568762092</v>
      </c>
      <c r="P184" s="14">
        <v>0.96023127593187</v>
      </c>
      <c r="Q184" s="10">
        <v>22.752522788548</v>
      </c>
      <c r="R184" s="10">
        <v>49.757</v>
      </c>
      <c r="S184" s="14">
        <v>0.704711773013224</v>
      </c>
      <c r="T184" s="18">
        <v>264</v>
      </c>
      <c r="U184" s="18">
        <v>264</v>
      </c>
      <c r="V184" s="18">
        <v>0</v>
      </c>
      <c r="W184" s="14">
        <v>0</v>
      </c>
      <c r="X184" s="10">
        <v>16.368997401585</v>
      </c>
      <c r="Y184" s="10">
        <v>28.323</v>
      </c>
      <c r="Z184" s="14">
        <v>0.945823047940756</v>
      </c>
      <c r="AA184" s="18">
        <v>265</v>
      </c>
      <c r="AB184" s="18">
        <v>265</v>
      </c>
      <c r="AC184" s="18">
        <v>0</v>
      </c>
      <c r="AD184" s="14">
        <v>0</v>
      </c>
      <c r="AE184" s="10">
        <v>-72.5637547616596</v>
      </c>
      <c r="AF184" s="10">
        <v>9.82971872747864</v>
      </c>
      <c r="AG184" s="14">
        <v>0.914092086904525</v>
      </c>
      <c r="AH184" s="14">
        <v>0.917081921467012</v>
      </c>
      <c r="AI184" s="14">
        <v>0.94430145166272</v>
      </c>
      <c r="AJ184" s="14">
        <v>0.947390095747967</v>
      </c>
      <c r="AK184" s="10">
        <v>21.7468362537764</v>
      </c>
      <c r="AL184" s="10">
        <v>48.095</v>
      </c>
      <c r="AM184" s="14">
        <v>0.691238670694864</v>
      </c>
      <c r="AN184" s="18">
        <v>264</v>
      </c>
      <c r="AO184" s="18">
        <v>264</v>
      </c>
      <c r="AP184" s="18">
        <v>0</v>
      </c>
      <c r="AQ184" s="14">
        <v>0</v>
      </c>
      <c r="AR184" s="10">
        <v>14.964229675425</v>
      </c>
      <c r="AS184" s="10">
        <v>26.665</v>
      </c>
      <c r="AT184" s="14">
        <v>0.933539412673879</v>
      </c>
      <c r="AU184" s="18">
        <v>265</v>
      </c>
      <c r="AV184" s="18">
        <v>265</v>
      </c>
      <c r="AW184" s="18">
        <v>0</v>
      </c>
      <c r="AX184" s="14">
        <v>0</v>
      </c>
    </row>
    <row r="185" spans="1:50">
      <c r="A185" s="3" t="s">
        <v>51</v>
      </c>
      <c r="B185" s="6" t="s">
        <v>55</v>
      </c>
      <c r="C185" s="6" t="s">
        <v>46</v>
      </c>
      <c r="D185" s="6" t="s">
        <v>47</v>
      </c>
      <c r="E185" s="6">
        <v>2</v>
      </c>
      <c r="F185" s="12" t="s">
        <v>54</v>
      </c>
      <c r="G185" s="12">
        <v>0.395027777777778</v>
      </c>
      <c r="H185" s="12" t="s">
        <v>54</v>
      </c>
      <c r="I185" s="12">
        <v>0.395</v>
      </c>
      <c r="J185" s="16">
        <v>0.999929681457</v>
      </c>
      <c r="K185" s="12">
        <v>-71.3418856977928</v>
      </c>
      <c r="L185" s="12">
        <v>3.7109510291628</v>
      </c>
      <c r="M185" s="16">
        <v>0.999434948439045</v>
      </c>
      <c r="N185" s="16">
        <v>0.999434948439045</v>
      </c>
      <c r="O185" s="16">
        <v>0.999434948439045</v>
      </c>
      <c r="P185" s="16">
        <v>0.999434948439045</v>
      </c>
      <c r="Q185" s="12">
        <v>13.3471190066667</v>
      </c>
      <c r="R185" s="12">
        <v>28.0958</v>
      </c>
      <c r="S185" s="16">
        <v>0.576666666666667</v>
      </c>
      <c r="T185" s="20">
        <v>10</v>
      </c>
      <c r="U185" s="20">
        <v>10</v>
      </c>
      <c r="V185" s="20">
        <v>0</v>
      </c>
      <c r="W185" s="16">
        <v>0</v>
      </c>
      <c r="X185" s="12">
        <v>24.6817955433333</v>
      </c>
      <c r="Y185" s="12">
        <v>29.1784</v>
      </c>
      <c r="Z185" s="16">
        <v>0.993333333333333</v>
      </c>
      <c r="AA185" s="20">
        <v>10</v>
      </c>
      <c r="AB185" s="20">
        <v>10</v>
      </c>
      <c r="AC185" s="20">
        <v>0</v>
      </c>
      <c r="AD185" s="16">
        <v>0</v>
      </c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</row>
    <row r="186" spans="1:50">
      <c r="A186" s="3" t="s">
        <v>44</v>
      </c>
      <c r="B186" s="3" t="s">
        <v>59</v>
      </c>
      <c r="C186" s="4" t="s">
        <v>49</v>
      </c>
      <c r="D186" s="5" t="s">
        <v>50</v>
      </c>
      <c r="E186" s="7">
        <v>1</v>
      </c>
      <c r="F186" s="10">
        <v>2.714</v>
      </c>
      <c r="G186" s="10">
        <v>0.696</v>
      </c>
      <c r="H186" s="10">
        <v>3.89942528735632</v>
      </c>
      <c r="I186" s="10">
        <v>0.696</v>
      </c>
      <c r="J186" s="14">
        <v>1</v>
      </c>
      <c r="K186" s="10">
        <v>-71.3037204919342</v>
      </c>
      <c r="L186" s="10">
        <v>17.7040559016132</v>
      </c>
      <c r="M186" s="14">
        <v>0.996725762657722</v>
      </c>
      <c r="N186" s="14">
        <v>0.996725762657722</v>
      </c>
      <c r="O186" s="14">
        <v>0.996725762657722</v>
      </c>
      <c r="P186" s="14">
        <v>0.996725762657722</v>
      </c>
      <c r="Q186" s="10">
        <v>99.4520425029516</v>
      </c>
      <c r="R186" s="10">
        <v>139.26</v>
      </c>
      <c r="S186" s="14">
        <v>0.987012987012987</v>
      </c>
      <c r="T186" s="18">
        <v>28</v>
      </c>
      <c r="U186" s="18">
        <v>28</v>
      </c>
      <c r="V186" s="18">
        <v>0</v>
      </c>
      <c r="W186" s="14">
        <v>0</v>
      </c>
      <c r="X186" s="10">
        <v>93.105616532721</v>
      </c>
      <c r="Y186" s="10">
        <v>122.988</v>
      </c>
      <c r="Z186" s="14">
        <v>0.983926521239954</v>
      </c>
      <c r="AA186" s="18">
        <v>29</v>
      </c>
      <c r="AB186" s="18">
        <v>29</v>
      </c>
      <c r="AC186" s="18">
        <v>0</v>
      </c>
      <c r="AD186" s="14">
        <v>0</v>
      </c>
      <c r="AE186" s="10">
        <v>-70.6643563829787</v>
      </c>
      <c r="AF186" s="10">
        <v>18.3283510638298</v>
      </c>
      <c r="AG186" s="14">
        <v>1</v>
      </c>
      <c r="AH186" s="14">
        <v>1</v>
      </c>
      <c r="AI186" s="14">
        <v>1</v>
      </c>
      <c r="AJ186" s="14">
        <v>1</v>
      </c>
      <c r="AK186" s="10">
        <v>100.350323943662</v>
      </c>
      <c r="AL186" s="10">
        <v>137.525</v>
      </c>
      <c r="AM186" s="14">
        <v>1</v>
      </c>
      <c r="AN186" s="18">
        <v>28</v>
      </c>
      <c r="AO186" s="18">
        <v>28</v>
      </c>
      <c r="AP186" s="18">
        <v>0</v>
      </c>
      <c r="AQ186" s="14">
        <v>0</v>
      </c>
      <c r="AR186" s="10">
        <v>95.428</v>
      </c>
      <c r="AS186" s="10">
        <v>120.845</v>
      </c>
      <c r="AT186" s="14">
        <v>1</v>
      </c>
      <c r="AU186" s="18">
        <v>29</v>
      </c>
      <c r="AV186" s="18">
        <v>29</v>
      </c>
      <c r="AW186" s="18">
        <v>0</v>
      </c>
      <c r="AX186" s="14">
        <v>0</v>
      </c>
    </row>
    <row r="187" spans="1:50">
      <c r="A187" s="3" t="s">
        <v>44</v>
      </c>
      <c r="B187" s="3" t="s">
        <v>48</v>
      </c>
      <c r="C187" s="4" t="s">
        <v>49</v>
      </c>
      <c r="D187" s="5" t="s">
        <v>50</v>
      </c>
      <c r="E187" s="7">
        <v>3</v>
      </c>
      <c r="F187" s="10">
        <v>5.923</v>
      </c>
      <c r="G187" s="10">
        <v>0.757</v>
      </c>
      <c r="H187" s="10">
        <v>7.82430647291942</v>
      </c>
      <c r="I187" s="10">
        <v>0.757</v>
      </c>
      <c r="J187" s="14">
        <v>1</v>
      </c>
      <c r="K187" s="10">
        <v>-70.9174120844279</v>
      </c>
      <c r="L187" s="10">
        <v>12.5670336081167</v>
      </c>
      <c r="M187" s="14">
        <v>0.996195307545973</v>
      </c>
      <c r="N187" s="14">
        <v>0.996195307545973</v>
      </c>
      <c r="O187" s="14">
        <v>0.996195307545973</v>
      </c>
      <c r="P187" s="14">
        <v>0.996195307545973</v>
      </c>
      <c r="Q187" s="10">
        <v>57.0167934224049</v>
      </c>
      <c r="R187" s="10">
        <v>84.383</v>
      </c>
      <c r="S187" s="14">
        <v>0.987667009249743</v>
      </c>
      <c r="T187" s="18">
        <v>32</v>
      </c>
      <c r="U187" s="18">
        <v>32</v>
      </c>
      <c r="V187" s="18">
        <v>0</v>
      </c>
      <c r="W187" s="14">
        <v>0</v>
      </c>
      <c r="X187" s="10">
        <v>26.4938987854251</v>
      </c>
      <c r="Y187" s="10">
        <v>31.25</v>
      </c>
      <c r="Z187" s="14">
        <v>1</v>
      </c>
      <c r="AA187" s="18">
        <v>33</v>
      </c>
      <c r="AB187" s="18">
        <v>33</v>
      </c>
      <c r="AC187" s="18">
        <v>0</v>
      </c>
      <c r="AD187" s="14">
        <v>0</v>
      </c>
      <c r="AE187" s="10">
        <v>-71.7931457725948</v>
      </c>
      <c r="AF187" s="10">
        <v>12.9111341107872</v>
      </c>
      <c r="AG187" s="14">
        <v>0.997084548104956</v>
      </c>
      <c r="AH187" s="14">
        <v>0.997084548104956</v>
      </c>
      <c r="AI187" s="14">
        <v>0.997084548104956</v>
      </c>
      <c r="AJ187" s="14">
        <v>0.997084548104956</v>
      </c>
      <c r="AK187" s="10">
        <v>54.9848294573643</v>
      </c>
      <c r="AL187" s="10">
        <v>80.571</v>
      </c>
      <c r="AM187" s="14">
        <v>1</v>
      </c>
      <c r="AN187" s="18">
        <v>32</v>
      </c>
      <c r="AO187" s="18">
        <v>32</v>
      </c>
      <c r="AP187" s="18">
        <v>0</v>
      </c>
      <c r="AQ187" s="14">
        <v>0</v>
      </c>
      <c r="AR187" s="10">
        <v>27.3298770491803</v>
      </c>
      <c r="AS187" s="10">
        <v>31.256</v>
      </c>
      <c r="AT187" s="14">
        <v>1</v>
      </c>
      <c r="AU187" s="18">
        <v>33</v>
      </c>
      <c r="AV187" s="18">
        <v>33</v>
      </c>
      <c r="AW187" s="18">
        <v>0</v>
      </c>
      <c r="AX187" s="14">
        <v>0</v>
      </c>
    </row>
    <row r="188" spans="1:50">
      <c r="A188" s="3" t="s">
        <v>44</v>
      </c>
      <c r="B188" s="3" t="s">
        <v>59</v>
      </c>
      <c r="C188" s="4" t="s">
        <v>49</v>
      </c>
      <c r="D188" s="5" t="s">
        <v>50</v>
      </c>
      <c r="E188" s="7">
        <v>2</v>
      </c>
      <c r="F188" s="10">
        <v>2.42</v>
      </c>
      <c r="G188" s="10">
        <v>0.624</v>
      </c>
      <c r="H188" s="10">
        <v>3.87820512820513</v>
      </c>
      <c r="I188" s="10">
        <v>0.624</v>
      </c>
      <c r="J188" s="14">
        <v>1</v>
      </c>
      <c r="K188" s="10">
        <v>-70.8997540391732</v>
      </c>
      <c r="L188" s="10">
        <v>10.0842296236122</v>
      </c>
      <c r="M188" s="14">
        <v>0.990522610343894</v>
      </c>
      <c r="N188" s="14">
        <v>0.990522610343894</v>
      </c>
      <c r="O188" s="14">
        <v>0.990522610343894</v>
      </c>
      <c r="P188" s="14">
        <v>0.990522610343894</v>
      </c>
      <c r="Q188" s="10">
        <v>45.8984879898862</v>
      </c>
      <c r="R188" s="10">
        <v>70.62</v>
      </c>
      <c r="S188" s="14">
        <v>0.917825537294564</v>
      </c>
      <c r="T188" s="18">
        <v>26</v>
      </c>
      <c r="U188" s="18">
        <v>26</v>
      </c>
      <c r="V188" s="18">
        <v>0</v>
      </c>
      <c r="W188" s="14">
        <v>0</v>
      </c>
      <c r="X188" s="10">
        <v>15.1294371794872</v>
      </c>
      <c r="Y188" s="10">
        <v>17.111</v>
      </c>
      <c r="Z188" s="14">
        <v>0.998717948717949</v>
      </c>
      <c r="AA188" s="18">
        <v>26</v>
      </c>
      <c r="AB188" s="18">
        <v>26</v>
      </c>
      <c r="AC188" s="18">
        <v>0</v>
      </c>
      <c r="AD188" s="14">
        <v>0</v>
      </c>
      <c r="AE188" s="10">
        <v>-72.1791929824561</v>
      </c>
      <c r="AF188" s="10">
        <v>9.67718128654971</v>
      </c>
      <c r="AG188" s="14">
        <v>1</v>
      </c>
      <c r="AH188" s="14">
        <v>1</v>
      </c>
      <c r="AI188" s="14">
        <v>1</v>
      </c>
      <c r="AJ188" s="14">
        <v>1</v>
      </c>
      <c r="AK188" s="10">
        <v>43.83084375</v>
      </c>
      <c r="AL188" s="10">
        <v>67.864</v>
      </c>
      <c r="AM188" s="14">
        <v>0.90625</v>
      </c>
      <c r="AN188" s="18">
        <v>26</v>
      </c>
      <c r="AO188" s="18">
        <v>26</v>
      </c>
      <c r="AP188" s="18">
        <v>0</v>
      </c>
      <c r="AQ188" s="14">
        <v>0</v>
      </c>
      <c r="AR188" s="10">
        <v>15.1619393939394</v>
      </c>
      <c r="AS188" s="10">
        <v>16.383</v>
      </c>
      <c r="AT188" s="14">
        <v>1</v>
      </c>
      <c r="AU188" s="18">
        <v>26</v>
      </c>
      <c r="AV188" s="18">
        <v>26</v>
      </c>
      <c r="AW188" s="18">
        <v>0</v>
      </c>
      <c r="AX188" s="14">
        <v>0</v>
      </c>
    </row>
    <row r="189" spans="1:50">
      <c r="A189" s="3" t="s">
        <v>51</v>
      </c>
      <c r="B189" s="4" t="s">
        <v>58</v>
      </c>
      <c r="C189" s="6" t="s">
        <v>49</v>
      </c>
      <c r="D189" s="6" t="s">
        <v>50</v>
      </c>
      <c r="E189" s="4">
        <v>2</v>
      </c>
      <c r="F189" s="11">
        <v>5.37979439097643</v>
      </c>
      <c r="G189" s="11">
        <v>0.639377777777778</v>
      </c>
      <c r="H189" s="11">
        <v>8.41410911976711</v>
      </c>
      <c r="I189" s="11">
        <v>0.573183333333333</v>
      </c>
      <c r="J189" s="15">
        <v>0.896470526901154</v>
      </c>
      <c r="K189" s="11">
        <v>-70.8218568670275</v>
      </c>
      <c r="L189" s="11">
        <v>9.88007657850767</v>
      </c>
      <c r="M189" s="15">
        <v>0.870230334637114</v>
      </c>
      <c r="N189" s="15">
        <v>0.870404172099087</v>
      </c>
      <c r="O189" s="15">
        <v>0.972983479105928</v>
      </c>
      <c r="P189" s="15">
        <v>0.973177842565598</v>
      </c>
      <c r="Q189" s="11">
        <v>44.7661575899814</v>
      </c>
      <c r="R189" s="11">
        <v>73.3212</v>
      </c>
      <c r="S189" s="15">
        <v>0.884972170686456</v>
      </c>
      <c r="T189" s="19">
        <v>18</v>
      </c>
      <c r="U189" s="19">
        <v>18</v>
      </c>
      <c r="V189" s="19">
        <v>0</v>
      </c>
      <c r="W189" s="15">
        <v>0</v>
      </c>
      <c r="X189" s="11">
        <v>24.3787281226611</v>
      </c>
      <c r="Y189" s="11">
        <v>28.6231</v>
      </c>
      <c r="Z189" s="15">
        <v>0.981288981288981</v>
      </c>
      <c r="AA189" s="19">
        <v>17</v>
      </c>
      <c r="AB189" s="19">
        <v>17</v>
      </c>
      <c r="AC189" s="19">
        <v>0</v>
      </c>
      <c r="AD189" s="15">
        <v>0</v>
      </c>
      <c r="AE189" s="11">
        <v>-70.6955420708555</v>
      </c>
      <c r="AF189" s="11">
        <v>9.64840127398113</v>
      </c>
      <c r="AG189" s="15">
        <v>0.876595744680851</v>
      </c>
      <c r="AH189" s="15">
        <v>0.876595744680851</v>
      </c>
      <c r="AI189" s="15">
        <v>0.976303317535545</v>
      </c>
      <c r="AJ189" s="15">
        <v>0.976303317535545</v>
      </c>
      <c r="AK189" s="11">
        <v>45.2477757511488</v>
      </c>
      <c r="AL189" s="11">
        <v>69.238533</v>
      </c>
      <c r="AM189" s="15">
        <v>0.9375</v>
      </c>
      <c r="AN189" s="19">
        <v>18</v>
      </c>
      <c r="AO189" s="19">
        <v>18</v>
      </c>
      <c r="AP189" s="19">
        <v>0</v>
      </c>
      <c r="AQ189" s="15">
        <v>0</v>
      </c>
      <c r="AR189" s="11">
        <v>24.7561378587177</v>
      </c>
      <c r="AS189" s="11">
        <v>28.8850639166667</v>
      </c>
      <c r="AT189" s="15">
        <v>1</v>
      </c>
      <c r="AU189" s="19">
        <v>17</v>
      </c>
      <c r="AV189" s="19">
        <v>17</v>
      </c>
      <c r="AW189" s="19">
        <v>0</v>
      </c>
      <c r="AX189" s="15">
        <v>0</v>
      </c>
    </row>
    <row r="190" spans="1:50">
      <c r="A190" s="3" t="s">
        <v>51</v>
      </c>
      <c r="B190" s="6" t="s">
        <v>52</v>
      </c>
      <c r="C190" s="8" t="s">
        <v>49</v>
      </c>
      <c r="D190" s="8" t="s">
        <v>64</v>
      </c>
      <c r="E190" s="8">
        <v>1</v>
      </c>
      <c r="F190" s="12">
        <v>204.693835103929</v>
      </c>
      <c r="G190" s="12">
        <v>9.33416861111111</v>
      </c>
      <c r="H190" s="12">
        <v>21.9295197710772</v>
      </c>
      <c r="I190" s="12">
        <v>9.32447222222222</v>
      </c>
      <c r="J190" s="16">
        <v>0.998961194157416</v>
      </c>
      <c r="K190" s="12">
        <v>-70.7173641277406</v>
      </c>
      <c r="L190" s="12">
        <v>15.4997982185862</v>
      </c>
      <c r="M190" s="16">
        <v>0.985860215053763</v>
      </c>
      <c r="N190" s="16">
        <v>0.986403823178017</v>
      </c>
      <c r="O190" s="16">
        <v>0.986998151991244</v>
      </c>
      <c r="P190" s="16">
        <v>0.987542387579467</v>
      </c>
      <c r="Q190" s="12">
        <v>55.1526984566769</v>
      </c>
      <c r="R190" s="12">
        <v>96.8465</v>
      </c>
      <c r="S190" s="16">
        <v>0.948303480413572</v>
      </c>
      <c r="T190" s="20">
        <v>233</v>
      </c>
      <c r="U190" s="20">
        <v>229</v>
      </c>
      <c r="V190" s="20">
        <v>1</v>
      </c>
      <c r="W190" s="16">
        <v>0.00436681222707424</v>
      </c>
      <c r="X190" s="12">
        <v>49.1640779689459</v>
      </c>
      <c r="Y190" s="12">
        <v>88.8711</v>
      </c>
      <c r="Z190" s="16">
        <v>0.988482286047529</v>
      </c>
      <c r="AA190" s="20">
        <v>233</v>
      </c>
      <c r="AB190" s="20">
        <v>231</v>
      </c>
      <c r="AC190" s="20">
        <v>2</v>
      </c>
      <c r="AD190" s="16">
        <v>0.00865800865800866</v>
      </c>
      <c r="AE190" s="12">
        <v>-69.6216924974068</v>
      </c>
      <c r="AF190" s="12">
        <v>16.259151651699</v>
      </c>
      <c r="AG190" s="16">
        <v>0.990500171683644</v>
      </c>
      <c r="AH190" s="16">
        <v>0.99072908320934</v>
      </c>
      <c r="AI190" s="16">
        <v>0.993912943608591</v>
      </c>
      <c r="AJ190" s="16">
        <v>0.994142643849776</v>
      </c>
      <c r="AK190" s="12">
        <v>56.5130581608269</v>
      </c>
      <c r="AL190" s="12">
        <v>97.6187605238095</v>
      </c>
      <c r="AM190" s="16">
        <v>0.956930693069307</v>
      </c>
      <c r="AN190" s="20">
        <v>233</v>
      </c>
      <c r="AO190" s="20">
        <v>229</v>
      </c>
      <c r="AP190" s="20">
        <v>1</v>
      </c>
      <c r="AQ190" s="16">
        <v>0.00436681222707424</v>
      </c>
      <c r="AR190" s="12">
        <v>55.5607617376662</v>
      </c>
      <c r="AS190" s="12">
        <v>102.234039</v>
      </c>
      <c r="AT190" s="16">
        <v>0.992125984251969</v>
      </c>
      <c r="AU190" s="20">
        <v>233</v>
      </c>
      <c r="AV190" s="20">
        <v>231</v>
      </c>
      <c r="AW190" s="20">
        <v>2</v>
      </c>
      <c r="AX190" s="16">
        <v>0.00865800865800866</v>
      </c>
    </row>
    <row r="191" spans="1:50">
      <c r="A191" s="3" t="s">
        <v>51</v>
      </c>
      <c r="B191" s="6" t="s">
        <v>55</v>
      </c>
      <c r="C191" s="6" t="s">
        <v>49</v>
      </c>
      <c r="D191" s="6" t="s">
        <v>61</v>
      </c>
      <c r="E191" s="6">
        <v>2</v>
      </c>
      <c r="F191" s="11">
        <v>2.15796139836311</v>
      </c>
      <c r="G191" s="11">
        <v>0.457266666666667</v>
      </c>
      <c r="H191" s="11">
        <v>4.71926242534578</v>
      </c>
      <c r="I191" s="11">
        <v>0.457236111111111</v>
      </c>
      <c r="J191" s="15">
        <v>0.999933177819896</v>
      </c>
      <c r="K191" s="11">
        <v>-70.5714790410411</v>
      </c>
      <c r="L191" s="11">
        <v>11.5710304158828</v>
      </c>
      <c r="M191" s="15">
        <v>0.96701685805033</v>
      </c>
      <c r="N191" s="15">
        <v>0.96701685805033</v>
      </c>
      <c r="O191" s="15">
        <v>0.96701685805033</v>
      </c>
      <c r="P191" s="15">
        <v>0.96701685805033</v>
      </c>
      <c r="Q191" s="11">
        <v>47.7677813666667</v>
      </c>
      <c r="R191" s="11">
        <v>76.7334</v>
      </c>
      <c r="S191" s="15">
        <v>0.971794871794872</v>
      </c>
      <c r="T191" s="19">
        <v>13</v>
      </c>
      <c r="U191" s="19">
        <v>13</v>
      </c>
      <c r="V191" s="19">
        <v>0</v>
      </c>
      <c r="W191" s="15">
        <v>0</v>
      </c>
      <c r="X191" s="11">
        <v>25.6707499027027</v>
      </c>
      <c r="Y191" s="11">
        <v>30.6143</v>
      </c>
      <c r="Z191" s="15">
        <v>1</v>
      </c>
      <c r="AA191" s="19">
        <v>13</v>
      </c>
      <c r="AB191" s="19">
        <v>13</v>
      </c>
      <c r="AC191" s="19">
        <v>0</v>
      </c>
      <c r="AD191" s="15">
        <v>0</v>
      </c>
      <c r="AE191" s="11">
        <v>-70.8750192657561</v>
      </c>
      <c r="AF191" s="11">
        <v>11.1401744951773</v>
      </c>
      <c r="AG191" s="15">
        <v>1</v>
      </c>
      <c r="AH191" s="15">
        <v>1</v>
      </c>
      <c r="AI191" s="15">
        <v>1</v>
      </c>
      <c r="AJ191" s="15">
        <v>1</v>
      </c>
      <c r="AK191" s="11">
        <v>47.0326223837899</v>
      </c>
      <c r="AL191" s="11">
        <v>70.9401098333333</v>
      </c>
      <c r="AM191" s="15">
        <v>0.974358974358974</v>
      </c>
      <c r="AN191" s="19">
        <v>13</v>
      </c>
      <c r="AO191" s="19">
        <v>13</v>
      </c>
      <c r="AP191" s="19">
        <v>0</v>
      </c>
      <c r="AQ191" s="15">
        <v>0</v>
      </c>
      <c r="AR191" s="11">
        <v>25.8842013821859</v>
      </c>
      <c r="AS191" s="11">
        <v>29.9087028235294</v>
      </c>
      <c r="AT191" s="15">
        <v>1</v>
      </c>
      <c r="AU191" s="19">
        <v>13</v>
      </c>
      <c r="AV191" s="19">
        <v>13</v>
      </c>
      <c r="AW191" s="19">
        <v>0</v>
      </c>
      <c r="AX191" s="15">
        <v>0</v>
      </c>
    </row>
    <row r="192" spans="1:50">
      <c r="A192" s="3" t="s">
        <v>51</v>
      </c>
      <c r="B192" s="5" t="s">
        <v>63</v>
      </c>
      <c r="C192" s="6" t="s">
        <v>49</v>
      </c>
      <c r="D192" s="6" t="s">
        <v>50</v>
      </c>
      <c r="E192" s="5">
        <v>1</v>
      </c>
      <c r="F192" s="11">
        <v>2.02233774805069</v>
      </c>
      <c r="G192" s="11">
        <v>0.477130555555556</v>
      </c>
      <c r="H192" s="11">
        <v>4.2385416832002</v>
      </c>
      <c r="I192" s="11">
        <v>0.420997222222222</v>
      </c>
      <c r="J192" s="15">
        <v>0.882352256254112</v>
      </c>
      <c r="K192" s="11">
        <v>-70.5162693122142</v>
      </c>
      <c r="L192" s="11">
        <v>7.28638350830628</v>
      </c>
      <c r="M192" s="15">
        <v>0.821716287215412</v>
      </c>
      <c r="N192" s="15">
        <v>0.821716287215412</v>
      </c>
      <c r="O192" s="15">
        <v>0.931568497683653</v>
      </c>
      <c r="P192" s="15">
        <v>0.931568497683653</v>
      </c>
      <c r="Q192" s="11">
        <v>46.6878516968215</v>
      </c>
      <c r="R192" s="11">
        <v>95.0172</v>
      </c>
      <c r="S192" s="15">
        <v>0.936430317848411</v>
      </c>
      <c r="T192" s="19">
        <v>14</v>
      </c>
      <c r="U192" s="19">
        <v>14</v>
      </c>
      <c r="V192" s="19">
        <v>0</v>
      </c>
      <c r="W192" s="15">
        <v>0</v>
      </c>
      <c r="X192" s="11">
        <v>35.6121323166667</v>
      </c>
      <c r="Y192" s="11">
        <v>68.5714</v>
      </c>
      <c r="Z192" s="15">
        <v>0.961904761904762</v>
      </c>
      <c r="AA192" s="19">
        <v>14</v>
      </c>
      <c r="AB192" s="19">
        <v>14</v>
      </c>
      <c r="AC192" s="19">
        <v>0</v>
      </c>
      <c r="AD192" s="15">
        <v>0</v>
      </c>
      <c r="AE192" s="11">
        <v>-69.9195126114079</v>
      </c>
      <c r="AF192" s="11">
        <v>7.58191507626946</v>
      </c>
      <c r="AG192" s="15">
        <v>0.86</v>
      </c>
      <c r="AH192" s="15">
        <v>0.86</v>
      </c>
      <c r="AI192" s="15">
        <v>0.988505747126437</v>
      </c>
      <c r="AJ192" s="15">
        <v>0.988505747126437</v>
      </c>
      <c r="AK192" s="11">
        <v>43.6033370410026</v>
      </c>
      <c r="AL192" s="11">
        <v>88.4702177894737</v>
      </c>
      <c r="AM192" s="15">
        <v>1</v>
      </c>
      <c r="AN192" s="19">
        <v>14</v>
      </c>
      <c r="AO192" s="19">
        <v>14</v>
      </c>
      <c r="AP192" s="19">
        <v>0</v>
      </c>
      <c r="AQ192" s="15">
        <v>0</v>
      </c>
      <c r="AR192" s="11">
        <v>37.9575852181253</v>
      </c>
      <c r="AS192" s="11">
        <v>67.709688</v>
      </c>
      <c r="AT192" s="15">
        <v>1</v>
      </c>
      <c r="AU192" s="19">
        <v>14</v>
      </c>
      <c r="AV192" s="19">
        <v>14</v>
      </c>
      <c r="AW192" s="19">
        <v>0</v>
      </c>
      <c r="AX192" s="15">
        <v>0</v>
      </c>
    </row>
    <row r="193" spans="1:50">
      <c r="A193" s="3" t="s">
        <v>44</v>
      </c>
      <c r="B193" s="3" t="s">
        <v>59</v>
      </c>
      <c r="C193" s="4" t="s">
        <v>49</v>
      </c>
      <c r="D193" s="4" t="s">
        <v>64</v>
      </c>
      <c r="E193" s="4">
        <v>3</v>
      </c>
      <c r="F193" s="10">
        <v>280.388</v>
      </c>
      <c r="G193" s="10">
        <v>5.98</v>
      </c>
      <c r="H193" s="10">
        <v>46.8876254180602</v>
      </c>
      <c r="I193" s="10">
        <v>5.92484536368</v>
      </c>
      <c r="J193" s="14">
        <v>0.990776344856113</v>
      </c>
      <c r="K193" s="10">
        <v>-70.4749534642303</v>
      </c>
      <c r="L193" s="10">
        <v>14.4088587518278</v>
      </c>
      <c r="M193" s="14">
        <v>0.966920613889809</v>
      </c>
      <c r="N193" s="14">
        <v>0.966975819807883</v>
      </c>
      <c r="O193" s="14">
        <v>0.97753022201882</v>
      </c>
      <c r="P193" s="14">
        <v>0.977586033687924</v>
      </c>
      <c r="Q193" s="10">
        <v>27.7925848061198</v>
      </c>
      <c r="R193" s="10">
        <v>55.31</v>
      </c>
      <c r="S193" s="14">
        <v>0.791216037984701</v>
      </c>
      <c r="T193" s="18">
        <v>252</v>
      </c>
      <c r="U193" s="18">
        <v>252</v>
      </c>
      <c r="V193" s="18">
        <v>0</v>
      </c>
      <c r="W193" s="14">
        <v>0</v>
      </c>
      <c r="X193" s="10">
        <v>20.7905212680578</v>
      </c>
      <c r="Y193" s="10">
        <v>29.573</v>
      </c>
      <c r="Z193" s="14">
        <v>0.988362760834671</v>
      </c>
      <c r="AA193" s="18">
        <v>252</v>
      </c>
      <c r="AB193" s="18">
        <v>252</v>
      </c>
      <c r="AC193" s="18">
        <v>0</v>
      </c>
      <c r="AD193" s="14">
        <v>0</v>
      </c>
      <c r="AE193" s="10">
        <v>-70.453943625731</v>
      </c>
      <c r="AF193" s="10">
        <v>14.429738245614</v>
      </c>
      <c r="AG193" s="14">
        <v>0.960873241601968</v>
      </c>
      <c r="AH193" s="14">
        <v>0.960873241601968</v>
      </c>
      <c r="AI193" s="14">
        <v>0.974658869395711</v>
      </c>
      <c r="AJ193" s="14">
        <v>0.974658869395711</v>
      </c>
      <c r="AK193" s="10">
        <v>29.2585618671277</v>
      </c>
      <c r="AL193" s="10">
        <v>56.405</v>
      </c>
      <c r="AM193" s="14">
        <v>0.819214620894048</v>
      </c>
      <c r="AN193" s="18">
        <v>252</v>
      </c>
      <c r="AO193" s="18">
        <v>252</v>
      </c>
      <c r="AP193" s="18">
        <v>0</v>
      </c>
      <c r="AQ193" s="14">
        <v>0</v>
      </c>
      <c r="AR193" s="10">
        <v>20.2860004782401</v>
      </c>
      <c r="AS193" s="10">
        <v>28.973</v>
      </c>
      <c r="AT193" s="14">
        <v>0.987087517934003</v>
      </c>
      <c r="AU193" s="18">
        <v>252</v>
      </c>
      <c r="AV193" s="18">
        <v>252</v>
      </c>
      <c r="AW193" s="18">
        <v>0</v>
      </c>
      <c r="AX193" s="14">
        <v>0</v>
      </c>
    </row>
    <row r="194" spans="1:50">
      <c r="A194" s="3" t="s">
        <v>51</v>
      </c>
      <c r="B194" s="6" t="s">
        <v>55</v>
      </c>
      <c r="C194" s="6" t="s">
        <v>46</v>
      </c>
      <c r="D194" s="6" t="s">
        <v>47</v>
      </c>
      <c r="E194" s="6">
        <v>3</v>
      </c>
      <c r="F194" s="12" t="s">
        <v>54</v>
      </c>
      <c r="G194" s="12">
        <v>0.395191666666667</v>
      </c>
      <c r="H194" s="12" t="s">
        <v>54</v>
      </c>
      <c r="I194" s="12">
        <v>0.395163888888889</v>
      </c>
      <c r="J194" s="16">
        <v>0.999929710618617</v>
      </c>
      <c r="K194" s="12">
        <v>-70.3834532126154</v>
      </c>
      <c r="L194" s="12">
        <v>5.87074658018629</v>
      </c>
      <c r="M194" s="16">
        <v>0.999576988155668</v>
      </c>
      <c r="N194" s="16">
        <v>0.999576988155668</v>
      </c>
      <c r="O194" s="16">
        <v>0.999576988155668</v>
      </c>
      <c r="P194" s="16">
        <v>0.999576988155668</v>
      </c>
      <c r="Q194" s="12">
        <v>30.4117594466667</v>
      </c>
      <c r="R194" s="12">
        <v>48.7176</v>
      </c>
      <c r="S194" s="16">
        <v>0.993333333333333</v>
      </c>
      <c r="T194" s="20">
        <v>10</v>
      </c>
      <c r="U194" s="20">
        <v>10</v>
      </c>
      <c r="V194" s="20">
        <v>0</v>
      </c>
      <c r="W194" s="16">
        <v>0</v>
      </c>
      <c r="X194" s="12">
        <v>27.8657497366667</v>
      </c>
      <c r="Y194" s="12">
        <v>29.8196</v>
      </c>
      <c r="Z194" s="16">
        <v>1</v>
      </c>
      <c r="AA194" s="20">
        <v>10</v>
      </c>
      <c r="AB194" s="20">
        <v>10</v>
      </c>
      <c r="AC194" s="20">
        <v>0</v>
      </c>
      <c r="AD194" s="16">
        <v>0</v>
      </c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</row>
    <row r="195" spans="1:50">
      <c r="A195" s="3" t="s">
        <v>51</v>
      </c>
      <c r="B195" s="5" t="s">
        <v>63</v>
      </c>
      <c r="C195" s="5" t="s">
        <v>46</v>
      </c>
      <c r="D195" s="5" t="s">
        <v>57</v>
      </c>
      <c r="E195" s="5">
        <v>2</v>
      </c>
      <c r="F195" s="11" t="s">
        <v>54</v>
      </c>
      <c r="G195" s="11">
        <v>0.372033333333333</v>
      </c>
      <c r="H195" s="11" t="s">
        <v>54</v>
      </c>
      <c r="I195" s="11">
        <v>0.372005555555556</v>
      </c>
      <c r="J195" s="15">
        <v>0.999925335244751</v>
      </c>
      <c r="K195" s="11">
        <v>-70.1591142495426</v>
      </c>
      <c r="L195" s="11">
        <v>14.7189791848633</v>
      </c>
      <c r="M195" s="15">
        <v>1</v>
      </c>
      <c r="N195" s="15">
        <v>1</v>
      </c>
      <c r="O195" s="15">
        <v>1</v>
      </c>
      <c r="P195" s="15">
        <v>1</v>
      </c>
      <c r="Q195" s="11">
        <v>42.6614072</v>
      </c>
      <c r="R195" s="11">
        <v>48.6445</v>
      </c>
      <c r="S195" s="15">
        <v>1</v>
      </c>
      <c r="T195" s="19">
        <v>10</v>
      </c>
      <c r="U195" s="19">
        <v>10</v>
      </c>
      <c r="V195" s="19">
        <v>0</v>
      </c>
      <c r="W195" s="15">
        <v>0</v>
      </c>
      <c r="X195" s="11">
        <v>9.14897827</v>
      </c>
      <c r="Y195" s="11">
        <v>10.8475</v>
      </c>
      <c r="Z195" s="15">
        <v>1</v>
      </c>
      <c r="AA195" s="19">
        <v>10</v>
      </c>
      <c r="AB195" s="19">
        <v>10</v>
      </c>
      <c r="AC195" s="19">
        <v>0</v>
      </c>
      <c r="AD195" s="15">
        <v>0</v>
      </c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</row>
    <row r="196" spans="1:50">
      <c r="A196" s="3" t="s">
        <v>44</v>
      </c>
      <c r="B196" s="3" t="s">
        <v>45</v>
      </c>
      <c r="C196" s="8" t="s">
        <v>49</v>
      </c>
      <c r="D196" s="5" t="s">
        <v>50</v>
      </c>
      <c r="E196" s="7">
        <v>1</v>
      </c>
      <c r="F196" s="10">
        <v>0.938</v>
      </c>
      <c r="G196" s="10">
        <v>0.21</v>
      </c>
      <c r="H196" s="10">
        <v>4.46666666666667</v>
      </c>
      <c r="I196" s="10">
        <v>0.21</v>
      </c>
      <c r="J196" s="14">
        <v>1</v>
      </c>
      <c r="K196" s="10">
        <v>-70.1105656084656</v>
      </c>
      <c r="L196" s="10">
        <v>10.5452619047619</v>
      </c>
      <c r="M196" s="14">
        <v>0.989417989417989</v>
      </c>
      <c r="N196" s="14">
        <v>0.989417989417989</v>
      </c>
      <c r="O196" s="14">
        <v>0.989417989417989</v>
      </c>
      <c r="P196" s="14">
        <v>0.989417989417989</v>
      </c>
      <c r="Q196" s="10">
        <v>44.3543235294118</v>
      </c>
      <c r="R196" s="10">
        <v>74.338</v>
      </c>
      <c r="S196" s="14">
        <v>0.981617647058823</v>
      </c>
      <c r="T196" s="18">
        <v>9</v>
      </c>
      <c r="U196" s="18">
        <v>9</v>
      </c>
      <c r="V196" s="18">
        <v>0</v>
      </c>
      <c r="W196" s="14">
        <v>0</v>
      </c>
      <c r="X196" s="10">
        <v>43.7358740740741</v>
      </c>
      <c r="Y196" s="10">
        <v>61.627</v>
      </c>
      <c r="Z196" s="14">
        <v>1</v>
      </c>
      <c r="AA196" s="18">
        <v>9</v>
      </c>
      <c r="AB196" s="18">
        <v>9</v>
      </c>
      <c r="AC196" s="18">
        <v>0</v>
      </c>
      <c r="AD196" s="14">
        <v>0</v>
      </c>
      <c r="AE196" s="10">
        <v>-69.9289696969697</v>
      </c>
      <c r="AF196" s="10">
        <v>10.5573787878788</v>
      </c>
      <c r="AG196" s="14">
        <v>1</v>
      </c>
      <c r="AH196" s="14">
        <v>1</v>
      </c>
      <c r="AI196" s="14">
        <v>1</v>
      </c>
      <c r="AJ196" s="14">
        <v>1</v>
      </c>
      <c r="AK196" s="10">
        <v>42.4231851851852</v>
      </c>
      <c r="AL196" s="10">
        <v>72.877</v>
      </c>
      <c r="AM196" s="14">
        <v>1</v>
      </c>
      <c r="AN196" s="18">
        <v>9</v>
      </c>
      <c r="AO196" s="18">
        <v>9</v>
      </c>
      <c r="AP196" s="18">
        <v>0</v>
      </c>
      <c r="AQ196" s="14">
        <v>0</v>
      </c>
      <c r="AR196" s="10">
        <v>45.9223448275862</v>
      </c>
      <c r="AS196" s="10">
        <v>71.173</v>
      </c>
      <c r="AT196" s="14">
        <v>1</v>
      </c>
      <c r="AU196" s="18">
        <v>9</v>
      </c>
      <c r="AV196" s="18">
        <v>9</v>
      </c>
      <c r="AW196" s="18">
        <v>0</v>
      </c>
      <c r="AX196" s="14">
        <v>0</v>
      </c>
    </row>
    <row r="197" spans="1:50">
      <c r="A197" s="3" t="s">
        <v>44</v>
      </c>
      <c r="B197" s="3" t="s">
        <v>56</v>
      </c>
      <c r="C197" s="4" t="s">
        <v>46</v>
      </c>
      <c r="D197" s="5" t="s">
        <v>57</v>
      </c>
      <c r="E197" s="7">
        <v>2</v>
      </c>
      <c r="F197" s="10"/>
      <c r="G197" s="10">
        <v>0.245</v>
      </c>
      <c r="H197" s="10"/>
      <c r="I197" s="10">
        <v>0.245</v>
      </c>
      <c r="J197" s="14">
        <v>1</v>
      </c>
      <c r="K197" s="10">
        <v>-69.9948062101469</v>
      </c>
      <c r="L197" s="10">
        <v>15.6322287219296</v>
      </c>
      <c r="M197" s="14">
        <v>1</v>
      </c>
      <c r="N197" s="14">
        <v>1</v>
      </c>
      <c r="O197" s="14">
        <v>1</v>
      </c>
      <c r="P197" s="14">
        <v>1</v>
      </c>
      <c r="Q197" s="10">
        <v>70.0478675496689</v>
      </c>
      <c r="R197" s="10">
        <v>82.155</v>
      </c>
      <c r="S197" s="14">
        <v>0.97682119205298</v>
      </c>
      <c r="T197" s="18">
        <v>10</v>
      </c>
      <c r="U197" s="18">
        <v>10</v>
      </c>
      <c r="V197" s="18">
        <v>0</v>
      </c>
      <c r="W197" s="14">
        <v>0</v>
      </c>
      <c r="X197" s="10">
        <v>26.8047759197324</v>
      </c>
      <c r="Y197" s="10">
        <v>29.306</v>
      </c>
      <c r="Z197" s="14">
        <v>1</v>
      </c>
      <c r="AA197" s="18">
        <v>10</v>
      </c>
      <c r="AB197" s="18">
        <v>10</v>
      </c>
      <c r="AC197" s="18">
        <v>0</v>
      </c>
      <c r="AD197" s="14">
        <v>0</v>
      </c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</row>
    <row r="198" spans="1:50">
      <c r="A198" s="3" t="s">
        <v>44</v>
      </c>
      <c r="B198" s="3" t="s">
        <v>59</v>
      </c>
      <c r="C198" s="4" t="s">
        <v>49</v>
      </c>
      <c r="D198" s="4" t="s">
        <v>64</v>
      </c>
      <c r="E198" s="4">
        <v>2</v>
      </c>
      <c r="F198" s="10">
        <v>280.388</v>
      </c>
      <c r="G198" s="10">
        <v>5.979</v>
      </c>
      <c r="H198" s="10">
        <v>46.8954674694765</v>
      </c>
      <c r="I198" s="10">
        <v>5.89723885212</v>
      </c>
      <c r="J198" s="14">
        <v>0.986322488168242</v>
      </c>
      <c r="K198" s="10">
        <v>-69.9914996158172</v>
      </c>
      <c r="L198" s="10">
        <v>14.2522061001548</v>
      </c>
      <c r="M198" s="14">
        <v>0.961680911680912</v>
      </c>
      <c r="N198" s="14">
        <v>0.9617795310103</v>
      </c>
      <c r="O198" s="14">
        <v>0.977305375218539</v>
      </c>
      <c r="P198" s="14">
        <v>0.977405596819635</v>
      </c>
      <c r="Q198" s="10">
        <v>26.4682489703733</v>
      </c>
      <c r="R198" s="10">
        <v>53.587</v>
      </c>
      <c r="S198" s="14">
        <v>0.781054869137771</v>
      </c>
      <c r="T198" s="18">
        <v>252</v>
      </c>
      <c r="U198" s="18">
        <v>252</v>
      </c>
      <c r="V198" s="18">
        <v>0</v>
      </c>
      <c r="W198" s="14">
        <v>0</v>
      </c>
      <c r="X198" s="10">
        <v>20.7520397342193</v>
      </c>
      <c r="Y198" s="10">
        <v>29.484</v>
      </c>
      <c r="Z198" s="14">
        <v>0.990431893687708</v>
      </c>
      <c r="AA198" s="18">
        <v>254</v>
      </c>
      <c r="AB198" s="18">
        <v>254</v>
      </c>
      <c r="AC198" s="18">
        <v>0</v>
      </c>
      <c r="AD198" s="14">
        <v>0</v>
      </c>
      <c r="AE198" s="10">
        <v>-69.9964306119263</v>
      </c>
      <c r="AF198" s="10">
        <v>14.2451345613487</v>
      </c>
      <c r="AG198" s="14">
        <v>0.954138274251589</v>
      </c>
      <c r="AH198" s="14">
        <v>0.95429140188347</v>
      </c>
      <c r="AI198" s="14">
        <v>0.972681860755542</v>
      </c>
      <c r="AJ198" s="14">
        <v>0.972837964408367</v>
      </c>
      <c r="AK198" s="10">
        <v>27.6232428571429</v>
      </c>
      <c r="AL198" s="10">
        <v>54.034</v>
      </c>
      <c r="AM198" s="14">
        <v>0.808620689655172</v>
      </c>
      <c r="AN198" s="18">
        <v>252</v>
      </c>
      <c r="AO198" s="18">
        <v>252</v>
      </c>
      <c r="AP198" s="18">
        <v>0</v>
      </c>
      <c r="AQ198" s="14">
        <v>0</v>
      </c>
      <c r="AR198" s="10">
        <v>20.0841837772397</v>
      </c>
      <c r="AS198" s="10">
        <v>28.886</v>
      </c>
      <c r="AT198" s="14">
        <v>0.988377723970944</v>
      </c>
      <c r="AU198" s="18">
        <v>254</v>
      </c>
      <c r="AV198" s="18">
        <v>254</v>
      </c>
      <c r="AW198" s="18">
        <v>0</v>
      </c>
      <c r="AX198" s="14">
        <v>0</v>
      </c>
    </row>
    <row r="199" spans="1:50">
      <c r="A199" s="3" t="s">
        <v>51</v>
      </c>
      <c r="B199" s="5" t="s">
        <v>63</v>
      </c>
      <c r="C199" s="6" t="s">
        <v>49</v>
      </c>
      <c r="D199" s="6" t="s">
        <v>50</v>
      </c>
      <c r="E199" s="5">
        <v>2</v>
      </c>
      <c r="F199" s="11">
        <v>2.02233774805069</v>
      </c>
      <c r="G199" s="11">
        <v>0.476794444444444</v>
      </c>
      <c r="H199" s="11">
        <v>4.24152959753358</v>
      </c>
      <c r="I199" s="11">
        <v>0.471988888888889</v>
      </c>
      <c r="J199" s="15">
        <v>0.989921116716964</v>
      </c>
      <c r="K199" s="11">
        <v>-69.9366523035733</v>
      </c>
      <c r="L199" s="11">
        <v>11.4084112414478</v>
      </c>
      <c r="M199" s="15">
        <v>0.972701819878675</v>
      </c>
      <c r="N199" s="15">
        <v>0.972701819878675</v>
      </c>
      <c r="O199" s="15">
        <v>0.985462711263444</v>
      </c>
      <c r="P199" s="15">
        <v>0.985462711263444</v>
      </c>
      <c r="Q199" s="11">
        <v>22.0286132236504</v>
      </c>
      <c r="R199" s="11">
        <v>43.2141</v>
      </c>
      <c r="S199" s="15">
        <v>0.755784061696658</v>
      </c>
      <c r="T199" s="19">
        <v>13</v>
      </c>
      <c r="U199" s="19">
        <v>13</v>
      </c>
      <c r="V199" s="19">
        <v>0</v>
      </c>
      <c r="W199" s="15">
        <v>0</v>
      </c>
      <c r="X199" s="11">
        <v>10.0935800404762</v>
      </c>
      <c r="Y199" s="11">
        <v>12.8128</v>
      </c>
      <c r="Z199" s="15">
        <v>0.980952380952381</v>
      </c>
      <c r="AA199" s="19">
        <v>14</v>
      </c>
      <c r="AB199" s="19">
        <v>14</v>
      </c>
      <c r="AC199" s="19">
        <v>0</v>
      </c>
      <c r="AD199" s="15">
        <v>0</v>
      </c>
      <c r="AE199" s="11">
        <v>-69.9801618891703</v>
      </c>
      <c r="AF199" s="11">
        <v>11.3854957098515</v>
      </c>
      <c r="AG199" s="15">
        <v>0.969072164948454</v>
      </c>
      <c r="AH199" s="15">
        <v>0.969072164948454</v>
      </c>
      <c r="AI199" s="15">
        <v>1</v>
      </c>
      <c r="AJ199" s="15">
        <v>1</v>
      </c>
      <c r="AK199" s="11">
        <v>23.3841002471021</v>
      </c>
      <c r="AL199" s="11">
        <v>43.8412245333333</v>
      </c>
      <c r="AM199" s="15">
        <v>0.818181818181818</v>
      </c>
      <c r="AN199" s="19">
        <v>13</v>
      </c>
      <c r="AO199" s="19">
        <v>13</v>
      </c>
      <c r="AP199" s="19">
        <v>0</v>
      </c>
      <c r="AQ199" s="15">
        <v>0</v>
      </c>
      <c r="AR199" s="11">
        <v>10.1557352423054</v>
      </c>
      <c r="AS199" s="11">
        <v>11.9553271666667</v>
      </c>
      <c r="AT199" s="15">
        <v>1</v>
      </c>
      <c r="AU199" s="19">
        <v>14</v>
      </c>
      <c r="AV199" s="19">
        <v>14</v>
      </c>
      <c r="AW199" s="19">
        <v>0</v>
      </c>
      <c r="AX199" s="15">
        <v>0</v>
      </c>
    </row>
    <row r="200" spans="1:50">
      <c r="A200" s="3" t="s">
        <v>51</v>
      </c>
      <c r="B200" s="4" t="s">
        <v>62</v>
      </c>
      <c r="C200" s="4" t="s">
        <v>49</v>
      </c>
      <c r="D200" s="4" t="s">
        <v>50</v>
      </c>
      <c r="E200" s="4">
        <v>1</v>
      </c>
      <c r="F200" s="11">
        <v>2.2018492013216</v>
      </c>
      <c r="G200" s="11">
        <v>0.73</v>
      </c>
      <c r="H200" s="11">
        <f>F200/G200</f>
        <v>3.01623178263233</v>
      </c>
      <c r="I200" s="11">
        <v>0.7262324</v>
      </c>
      <c r="J200" s="15">
        <f>I200/G200</f>
        <v>0.994838904109589</v>
      </c>
      <c r="K200" s="11">
        <v>-69.7777373222364</v>
      </c>
      <c r="L200" s="11">
        <v>13.2783980249141</v>
      </c>
      <c r="M200" s="15" t="s">
        <v>54</v>
      </c>
      <c r="N200" s="15" t="s">
        <v>54</v>
      </c>
      <c r="O200" s="15" t="s">
        <v>54</v>
      </c>
      <c r="P200" s="15" t="s">
        <v>54</v>
      </c>
      <c r="Q200" s="11">
        <v>69.2475600138889</v>
      </c>
      <c r="R200" s="11">
        <v>88.6062</v>
      </c>
      <c r="S200" s="15">
        <v>1</v>
      </c>
      <c r="T200" s="19">
        <v>12</v>
      </c>
      <c r="U200" s="19">
        <v>12</v>
      </c>
      <c r="V200" s="19">
        <v>0</v>
      </c>
      <c r="W200" s="15">
        <v>0</v>
      </c>
      <c r="X200" s="11">
        <v>79.4061682615385</v>
      </c>
      <c r="Y200" s="11">
        <v>87.3019</v>
      </c>
      <c r="Z200" s="15">
        <v>1</v>
      </c>
      <c r="AA200" s="19">
        <v>13</v>
      </c>
      <c r="AB200" s="19">
        <v>13</v>
      </c>
      <c r="AC200" s="19">
        <v>0</v>
      </c>
      <c r="AD200" s="15">
        <v>0</v>
      </c>
      <c r="AE200" s="11">
        <v>-69.9439677110236</v>
      </c>
      <c r="AF200" s="11">
        <v>13.2029137803492</v>
      </c>
      <c r="AG200" s="15" t="s">
        <v>54</v>
      </c>
      <c r="AH200" s="15" t="s">
        <v>54</v>
      </c>
      <c r="AI200" s="15" t="s">
        <v>54</v>
      </c>
      <c r="AJ200" s="15" t="s">
        <v>54</v>
      </c>
      <c r="AK200" s="11">
        <v>67.2008921488105</v>
      </c>
      <c r="AL200" s="11">
        <v>87.9209158571428</v>
      </c>
      <c r="AM200" s="15">
        <v>1</v>
      </c>
      <c r="AN200" s="19">
        <v>12</v>
      </c>
      <c r="AO200" s="19">
        <v>12</v>
      </c>
      <c r="AP200" s="19">
        <v>0</v>
      </c>
      <c r="AQ200" s="15">
        <v>0</v>
      </c>
      <c r="AR200" s="11">
        <v>79.1966291337442</v>
      </c>
      <c r="AS200" s="11">
        <v>84.6176438571429</v>
      </c>
      <c r="AT200" s="15">
        <v>1</v>
      </c>
      <c r="AU200" s="19">
        <v>13</v>
      </c>
      <c r="AV200" s="19">
        <v>13</v>
      </c>
      <c r="AW200" s="19">
        <v>0</v>
      </c>
      <c r="AX200" s="15">
        <v>0</v>
      </c>
    </row>
    <row r="201" spans="1:50">
      <c r="A201" s="3" t="s">
        <v>44</v>
      </c>
      <c r="B201" s="7" t="s">
        <v>60</v>
      </c>
      <c r="C201" s="4" t="s">
        <v>49</v>
      </c>
      <c r="D201" s="5" t="s">
        <v>50</v>
      </c>
      <c r="E201" s="7">
        <v>1</v>
      </c>
      <c r="F201" s="10">
        <v>2.844</v>
      </c>
      <c r="G201" s="10">
        <v>0.596</v>
      </c>
      <c r="H201" s="10">
        <v>4.77181208053691</v>
      </c>
      <c r="I201" s="10">
        <v>0.5875726792</v>
      </c>
      <c r="J201" s="14">
        <v>0.9858602</v>
      </c>
      <c r="K201" s="10">
        <v>-69.5280368134587</v>
      </c>
      <c r="L201" s="10">
        <v>10.3142357248887</v>
      </c>
      <c r="M201" s="14">
        <v>0.957000780031201</v>
      </c>
      <c r="N201" s="14">
        <v>0.957098283931357</v>
      </c>
      <c r="O201" s="14">
        <v>0.971301335972291</v>
      </c>
      <c r="P201" s="14">
        <v>0.971400296882731</v>
      </c>
      <c r="Q201" s="10">
        <v>51.0103468057366</v>
      </c>
      <c r="R201" s="10">
        <v>85.488</v>
      </c>
      <c r="S201" s="14">
        <v>0.942633637548892</v>
      </c>
      <c r="T201" s="18">
        <v>26</v>
      </c>
      <c r="U201" s="18">
        <v>26</v>
      </c>
      <c r="V201" s="18">
        <v>0</v>
      </c>
      <c r="W201" s="14">
        <v>0</v>
      </c>
      <c r="X201" s="10">
        <v>26.85648</v>
      </c>
      <c r="Y201" s="10">
        <v>46.681</v>
      </c>
      <c r="Z201" s="14">
        <v>0.998666666666667</v>
      </c>
      <c r="AA201" s="18">
        <v>25</v>
      </c>
      <c r="AB201" s="18">
        <v>25</v>
      </c>
      <c r="AC201" s="18">
        <v>0</v>
      </c>
      <c r="AD201" s="14">
        <v>0</v>
      </c>
      <c r="AE201" s="10">
        <v>-69.2030222222222</v>
      </c>
      <c r="AF201" s="10">
        <v>10.3085111111111</v>
      </c>
      <c r="AG201" s="14">
        <v>0.972826086956522</v>
      </c>
      <c r="AH201" s="14">
        <v>0.972826086956522</v>
      </c>
      <c r="AI201" s="14">
        <v>0.994444444444444</v>
      </c>
      <c r="AJ201" s="14">
        <v>0.994444444444444</v>
      </c>
      <c r="AK201" s="10">
        <v>51.465223880597</v>
      </c>
      <c r="AL201" s="10">
        <v>91.551</v>
      </c>
      <c r="AM201" s="14">
        <v>0.970149253731343</v>
      </c>
      <c r="AN201" s="18">
        <v>26</v>
      </c>
      <c r="AO201" s="18">
        <v>26</v>
      </c>
      <c r="AP201" s="18">
        <v>0</v>
      </c>
      <c r="AQ201" s="14">
        <v>0</v>
      </c>
      <c r="AR201" s="10">
        <v>27.4522205882353</v>
      </c>
      <c r="AS201" s="10">
        <v>43.849</v>
      </c>
      <c r="AT201" s="14">
        <v>1</v>
      </c>
      <c r="AU201" s="18">
        <v>25</v>
      </c>
      <c r="AV201" s="18">
        <v>25</v>
      </c>
      <c r="AW201" s="18">
        <v>0</v>
      </c>
      <c r="AX201" s="14">
        <v>0</v>
      </c>
    </row>
    <row r="202" spans="1:50">
      <c r="A202" s="3" t="s">
        <v>44</v>
      </c>
      <c r="B202" s="3" t="s">
        <v>48</v>
      </c>
      <c r="C202" s="4" t="s">
        <v>46</v>
      </c>
      <c r="D202" s="5" t="s">
        <v>53</v>
      </c>
      <c r="E202" s="7">
        <v>1</v>
      </c>
      <c r="F202" s="10"/>
      <c r="G202" s="10">
        <v>0.237</v>
      </c>
      <c r="H202" s="10"/>
      <c r="I202" s="10">
        <v>0.237</v>
      </c>
      <c r="J202" s="14">
        <v>1</v>
      </c>
      <c r="K202" s="10">
        <v>-69.2189699530516</v>
      </c>
      <c r="L202" s="10">
        <v>16.4072164319249</v>
      </c>
      <c r="M202" s="14">
        <v>1</v>
      </c>
      <c r="N202" s="14">
        <v>1</v>
      </c>
      <c r="O202" s="14">
        <v>1</v>
      </c>
      <c r="P202" s="14">
        <v>1</v>
      </c>
      <c r="Q202" s="10">
        <v>117.818238410596</v>
      </c>
      <c r="R202" s="10">
        <v>129.865</v>
      </c>
      <c r="S202" s="14">
        <v>0.986754966887417</v>
      </c>
      <c r="T202" s="18">
        <v>10</v>
      </c>
      <c r="U202" s="18">
        <v>10</v>
      </c>
      <c r="V202" s="18">
        <v>0</v>
      </c>
      <c r="W202" s="14">
        <v>0</v>
      </c>
      <c r="X202" s="10">
        <v>21.1786166666667</v>
      </c>
      <c r="Y202" s="10">
        <v>22.9</v>
      </c>
      <c r="Z202" s="14">
        <v>1</v>
      </c>
      <c r="AA202" s="18">
        <v>10</v>
      </c>
      <c r="AB202" s="18">
        <v>10</v>
      </c>
      <c r="AC202" s="18">
        <v>0</v>
      </c>
      <c r="AD202" s="14">
        <v>0</v>
      </c>
      <c r="AE202" s="10"/>
      <c r="AF202" s="10"/>
      <c r="AG202" s="14"/>
      <c r="AH202" s="14"/>
      <c r="AI202" s="14"/>
      <c r="AJ202" s="14"/>
      <c r="AK202" s="10"/>
      <c r="AL202" s="10"/>
      <c r="AM202" s="14"/>
      <c r="AN202" s="18"/>
      <c r="AO202" s="18"/>
      <c r="AP202" s="18"/>
      <c r="AQ202" s="14"/>
      <c r="AR202" s="10"/>
      <c r="AS202" s="10"/>
      <c r="AT202" s="14"/>
      <c r="AU202" s="18"/>
      <c r="AV202" s="18"/>
      <c r="AW202" s="18"/>
      <c r="AX202" s="14"/>
    </row>
    <row r="203" spans="1:50">
      <c r="A203" s="3" t="s">
        <v>44</v>
      </c>
      <c r="B203" s="3" t="s">
        <v>48</v>
      </c>
      <c r="C203" s="4" t="s">
        <v>49</v>
      </c>
      <c r="D203" s="5" t="s">
        <v>50</v>
      </c>
      <c r="E203" s="7">
        <v>2</v>
      </c>
      <c r="F203" s="10">
        <v>5.923</v>
      </c>
      <c r="G203" s="10">
        <v>0.757</v>
      </c>
      <c r="H203" s="10">
        <v>7.82430647291942</v>
      </c>
      <c r="I203" s="10">
        <v>0.757</v>
      </c>
      <c r="J203" s="14">
        <v>1</v>
      </c>
      <c r="K203" s="10">
        <v>-69.0735907030572</v>
      </c>
      <c r="L203" s="10">
        <v>12.8584542385958</v>
      </c>
      <c r="M203" s="14">
        <v>0.996720995274376</v>
      </c>
      <c r="N203" s="14">
        <v>0.996720995274376</v>
      </c>
      <c r="O203" s="14">
        <v>0.996720995274376</v>
      </c>
      <c r="P203" s="14">
        <v>0.996720995274376</v>
      </c>
      <c r="Q203" s="10">
        <v>60.9788628230616</v>
      </c>
      <c r="R203" s="10">
        <v>89.566</v>
      </c>
      <c r="S203" s="14">
        <v>0.951292246520875</v>
      </c>
      <c r="T203" s="18">
        <v>33</v>
      </c>
      <c r="U203" s="18">
        <v>33</v>
      </c>
      <c r="V203" s="18">
        <v>0</v>
      </c>
      <c r="W203" s="14">
        <v>0</v>
      </c>
      <c r="X203" s="10">
        <v>26.867361835245</v>
      </c>
      <c r="Y203" s="10">
        <v>31.395</v>
      </c>
      <c r="Z203" s="14">
        <v>1</v>
      </c>
      <c r="AA203" s="18">
        <v>32</v>
      </c>
      <c r="AB203" s="18">
        <v>32</v>
      </c>
      <c r="AC203" s="18">
        <v>0</v>
      </c>
      <c r="AD203" s="14">
        <v>0</v>
      </c>
      <c r="AE203" s="10">
        <v>-70.0513841463415</v>
      </c>
      <c r="AF203" s="10">
        <v>13.0167987804878</v>
      </c>
      <c r="AG203" s="14">
        <v>0.996951219512195</v>
      </c>
      <c r="AH203" s="14">
        <v>0.996951219512195</v>
      </c>
      <c r="AI203" s="14">
        <v>0.996951219512195</v>
      </c>
      <c r="AJ203" s="14">
        <v>0.996951219512195</v>
      </c>
      <c r="AK203" s="10">
        <v>53.454976</v>
      </c>
      <c r="AL203" s="10">
        <v>77.819</v>
      </c>
      <c r="AM203" s="14">
        <v>0.96</v>
      </c>
      <c r="AN203" s="18">
        <v>33</v>
      </c>
      <c r="AO203" s="18">
        <v>33</v>
      </c>
      <c r="AP203" s="18">
        <v>0</v>
      </c>
      <c r="AQ203" s="14">
        <v>0</v>
      </c>
      <c r="AR203" s="10">
        <v>25.3486307692308</v>
      </c>
      <c r="AS203" s="10">
        <v>30.58</v>
      </c>
      <c r="AT203" s="14">
        <v>1</v>
      </c>
      <c r="AU203" s="18">
        <v>32</v>
      </c>
      <c r="AV203" s="18">
        <v>32</v>
      </c>
      <c r="AW203" s="18">
        <v>0</v>
      </c>
      <c r="AX203" s="14">
        <v>0</v>
      </c>
    </row>
    <row r="204" spans="1:50">
      <c r="A204" s="3" t="s">
        <v>44</v>
      </c>
      <c r="B204" s="7" t="s">
        <v>60</v>
      </c>
      <c r="C204" s="4" t="s">
        <v>46</v>
      </c>
      <c r="D204" s="5" t="s">
        <v>47</v>
      </c>
      <c r="E204" s="7">
        <v>3</v>
      </c>
      <c r="F204" s="10"/>
      <c r="G204" s="10">
        <v>0.24</v>
      </c>
      <c r="H204" s="10"/>
      <c r="I204" s="10">
        <v>0.24</v>
      </c>
      <c r="J204" s="14">
        <v>1</v>
      </c>
      <c r="K204" s="10">
        <v>-69.0586128581412</v>
      </c>
      <c r="L204" s="10">
        <v>27.6991395294666</v>
      </c>
      <c r="M204" s="14">
        <v>1</v>
      </c>
      <c r="N204" s="14">
        <v>1</v>
      </c>
      <c r="O204" s="14">
        <v>1</v>
      </c>
      <c r="P204" s="14">
        <v>1</v>
      </c>
      <c r="Q204" s="10">
        <v>14.3206953642384</v>
      </c>
      <c r="R204" s="10">
        <v>18.404</v>
      </c>
      <c r="S204" s="14">
        <v>0.923841059602649</v>
      </c>
      <c r="T204" s="18">
        <v>10</v>
      </c>
      <c r="U204" s="18">
        <v>10</v>
      </c>
      <c r="V204" s="18">
        <v>0</v>
      </c>
      <c r="W204" s="14">
        <v>0</v>
      </c>
      <c r="X204" s="10">
        <v>8.55606</v>
      </c>
      <c r="Y204" s="10">
        <v>10.816</v>
      </c>
      <c r="Z204" s="14">
        <v>1</v>
      </c>
      <c r="AA204" s="18">
        <v>10</v>
      </c>
      <c r="AB204" s="18">
        <v>10</v>
      </c>
      <c r="AC204" s="18">
        <v>0</v>
      </c>
      <c r="AD204" s="14">
        <v>0</v>
      </c>
      <c r="AE204" s="10"/>
      <c r="AF204" s="10"/>
      <c r="AG204" s="14"/>
      <c r="AH204" s="14"/>
      <c r="AI204" s="14"/>
      <c r="AJ204" s="14"/>
      <c r="AK204" s="10"/>
      <c r="AL204" s="10"/>
      <c r="AM204" s="14"/>
      <c r="AN204" s="18"/>
      <c r="AO204" s="18"/>
      <c r="AP204" s="18"/>
      <c r="AQ204" s="14"/>
      <c r="AR204" s="10"/>
      <c r="AS204" s="10"/>
      <c r="AT204" s="14"/>
      <c r="AU204" s="18"/>
      <c r="AV204" s="18"/>
      <c r="AW204" s="18"/>
      <c r="AX204" s="14"/>
    </row>
    <row r="205" spans="1:50">
      <c r="A205" s="3" t="s">
        <v>51</v>
      </c>
      <c r="B205" s="5" t="s">
        <v>63</v>
      </c>
      <c r="C205" s="6" t="s">
        <v>49</v>
      </c>
      <c r="D205" s="6" t="s">
        <v>50</v>
      </c>
      <c r="E205" s="5">
        <v>3</v>
      </c>
      <c r="F205" s="11">
        <v>2.02233774805069</v>
      </c>
      <c r="G205" s="11">
        <v>0.476961111111111</v>
      </c>
      <c r="H205" s="11">
        <v>4.24004746076578</v>
      </c>
      <c r="I205" s="11">
        <v>0.475436111111111</v>
      </c>
      <c r="J205" s="15">
        <v>0.996802674338695</v>
      </c>
      <c r="K205" s="11">
        <v>-68.9355604306715</v>
      </c>
      <c r="L205" s="11">
        <v>11.0984466658294</v>
      </c>
      <c r="M205" s="15">
        <v>0.97897932967418</v>
      </c>
      <c r="N205" s="15">
        <v>0.97897932967418</v>
      </c>
      <c r="O205" s="15">
        <v>0.982075913776945</v>
      </c>
      <c r="P205" s="15">
        <v>0.982075913776945</v>
      </c>
      <c r="Q205" s="11">
        <v>25.8740184404762</v>
      </c>
      <c r="R205" s="11">
        <v>46.2018</v>
      </c>
      <c r="S205" s="15">
        <v>0.835714285714286</v>
      </c>
      <c r="T205" s="19">
        <v>14</v>
      </c>
      <c r="U205" s="19">
        <v>14</v>
      </c>
      <c r="V205" s="19">
        <v>0</v>
      </c>
      <c r="W205" s="15">
        <v>0</v>
      </c>
      <c r="X205" s="11">
        <v>10.8297384536585</v>
      </c>
      <c r="Y205" s="11">
        <v>13.76</v>
      </c>
      <c r="Z205" s="15">
        <v>1</v>
      </c>
      <c r="AA205" s="19">
        <v>14</v>
      </c>
      <c r="AB205" s="19">
        <v>14</v>
      </c>
      <c r="AC205" s="19">
        <v>0</v>
      </c>
      <c r="AD205" s="15">
        <v>0</v>
      </c>
      <c r="AE205" s="11">
        <v>-68.8785883910098</v>
      </c>
      <c r="AF205" s="11">
        <v>11.0440743663074</v>
      </c>
      <c r="AG205" s="15">
        <v>0.989473684210526</v>
      </c>
      <c r="AH205" s="15">
        <v>0.989473684210526</v>
      </c>
      <c r="AI205" s="15">
        <v>1</v>
      </c>
      <c r="AJ205" s="15">
        <v>1</v>
      </c>
      <c r="AK205" s="11">
        <v>24.653506764844</v>
      </c>
      <c r="AL205" s="11">
        <v>39.4609383333333</v>
      </c>
      <c r="AM205" s="15">
        <v>0.857142857142857</v>
      </c>
      <c r="AN205" s="19">
        <v>14</v>
      </c>
      <c r="AO205" s="19">
        <v>14</v>
      </c>
      <c r="AP205" s="19">
        <v>0</v>
      </c>
      <c r="AQ205" s="15">
        <v>0</v>
      </c>
      <c r="AR205" s="11">
        <v>10.2461234792366</v>
      </c>
      <c r="AS205" s="11">
        <v>12.8460313333333</v>
      </c>
      <c r="AT205" s="15">
        <v>1</v>
      </c>
      <c r="AU205" s="19">
        <v>14</v>
      </c>
      <c r="AV205" s="19">
        <v>14</v>
      </c>
      <c r="AW205" s="19">
        <v>0</v>
      </c>
      <c r="AX205" s="15">
        <v>0</v>
      </c>
    </row>
    <row r="206" spans="1:50">
      <c r="A206" s="3" t="s">
        <v>44</v>
      </c>
      <c r="B206" s="3" t="s">
        <v>56</v>
      </c>
      <c r="C206" s="4" t="s">
        <v>46</v>
      </c>
      <c r="D206" s="5" t="s">
        <v>47</v>
      </c>
      <c r="E206" s="7">
        <v>1</v>
      </c>
      <c r="F206" s="10"/>
      <c r="G206" s="10">
        <v>0.256</v>
      </c>
      <c r="H206" s="10"/>
      <c r="I206" s="10">
        <v>0.256</v>
      </c>
      <c r="J206" s="14">
        <v>1</v>
      </c>
      <c r="K206" s="10">
        <v>-68.8609165609942</v>
      </c>
      <c r="L206" s="10">
        <v>9.80266066446868</v>
      </c>
      <c r="M206" s="14">
        <v>1</v>
      </c>
      <c r="N206" s="14">
        <v>1</v>
      </c>
      <c r="O206" s="14">
        <v>1</v>
      </c>
      <c r="P206" s="14">
        <v>1</v>
      </c>
      <c r="Q206" s="10">
        <v>37.9304851485149</v>
      </c>
      <c r="R206" s="10">
        <v>47.619</v>
      </c>
      <c r="S206" s="14">
        <v>0.98019801980198</v>
      </c>
      <c r="T206" s="18">
        <v>10</v>
      </c>
      <c r="U206" s="18">
        <v>10</v>
      </c>
      <c r="V206" s="18">
        <v>0</v>
      </c>
      <c r="W206" s="14">
        <v>0</v>
      </c>
      <c r="X206" s="10">
        <v>8.04078</v>
      </c>
      <c r="Y206" s="10">
        <v>9.103</v>
      </c>
      <c r="Z206" s="14">
        <v>1</v>
      </c>
      <c r="AA206" s="18">
        <v>10</v>
      </c>
      <c r="AB206" s="18">
        <v>10</v>
      </c>
      <c r="AC206" s="18">
        <v>0</v>
      </c>
      <c r="AD206" s="14">
        <v>0</v>
      </c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</row>
    <row r="207" spans="1:50">
      <c r="A207" s="3" t="s">
        <v>51</v>
      </c>
      <c r="B207" s="6" t="s">
        <v>55</v>
      </c>
      <c r="C207" s="6" t="s">
        <v>49</v>
      </c>
      <c r="D207" s="6" t="s">
        <v>50</v>
      </c>
      <c r="E207" s="5">
        <v>3</v>
      </c>
      <c r="F207" s="11">
        <v>1.83681998944283</v>
      </c>
      <c r="G207" s="11">
        <v>0.400441666666667</v>
      </c>
      <c r="H207" s="11">
        <v>4.5869851774736</v>
      </c>
      <c r="I207" s="11">
        <v>0.400416666666667</v>
      </c>
      <c r="J207" s="15">
        <v>0.999937568934302</v>
      </c>
      <c r="K207" s="11">
        <v>-68.421937517972</v>
      </c>
      <c r="L207" s="11">
        <v>14.8592047940615</v>
      </c>
      <c r="M207" s="15">
        <v>0.999582927846517</v>
      </c>
      <c r="N207" s="15">
        <v>0.999582927846517</v>
      </c>
      <c r="O207" s="15">
        <v>0.999582927846517</v>
      </c>
      <c r="P207" s="15">
        <v>0.999582927846517</v>
      </c>
      <c r="Q207" s="11">
        <v>20.8760697818182</v>
      </c>
      <c r="R207" s="11">
        <v>32.9123</v>
      </c>
      <c r="S207" s="15">
        <v>0.9</v>
      </c>
      <c r="T207" s="19">
        <v>11</v>
      </c>
      <c r="U207" s="19">
        <v>11</v>
      </c>
      <c r="V207" s="19">
        <v>0</v>
      </c>
      <c r="W207" s="15">
        <v>0</v>
      </c>
      <c r="X207" s="11">
        <v>11.6151108962536</v>
      </c>
      <c r="Y207" s="11">
        <v>15.1004</v>
      </c>
      <c r="Z207" s="15">
        <v>1</v>
      </c>
      <c r="AA207" s="19">
        <v>12</v>
      </c>
      <c r="AB207" s="19">
        <v>12</v>
      </c>
      <c r="AC207" s="19">
        <v>0</v>
      </c>
      <c r="AD207" s="15">
        <v>0</v>
      </c>
      <c r="AE207" s="11">
        <v>-69.0952624604454</v>
      </c>
      <c r="AF207" s="11">
        <v>14.0494730258718</v>
      </c>
      <c r="AG207" s="15">
        <v>1</v>
      </c>
      <c r="AH207" s="15">
        <v>1</v>
      </c>
      <c r="AI207" s="15">
        <v>1</v>
      </c>
      <c r="AJ207" s="15">
        <v>1</v>
      </c>
      <c r="AK207" s="11">
        <v>20.4747663394756</v>
      </c>
      <c r="AL207" s="11">
        <v>32.1361754444444</v>
      </c>
      <c r="AM207" s="15">
        <v>0.971428571428571</v>
      </c>
      <c r="AN207" s="19">
        <v>11</v>
      </c>
      <c r="AO207" s="19">
        <v>11</v>
      </c>
      <c r="AP207" s="19">
        <v>0</v>
      </c>
      <c r="AQ207" s="15">
        <v>0</v>
      </c>
      <c r="AR207" s="11">
        <v>11.2110475476297</v>
      </c>
      <c r="AS207" s="11">
        <v>14.7253995555556</v>
      </c>
      <c r="AT207" s="15">
        <v>1</v>
      </c>
      <c r="AU207" s="19">
        <v>12</v>
      </c>
      <c r="AV207" s="19">
        <v>12</v>
      </c>
      <c r="AW207" s="19">
        <v>0</v>
      </c>
      <c r="AX207" s="15">
        <v>0</v>
      </c>
    </row>
    <row r="208" spans="1:50">
      <c r="A208" s="3" t="s">
        <v>44</v>
      </c>
      <c r="B208" s="7" t="s">
        <v>60</v>
      </c>
      <c r="C208" s="4" t="s">
        <v>46</v>
      </c>
      <c r="D208" s="5" t="s">
        <v>47</v>
      </c>
      <c r="E208" s="7">
        <v>2</v>
      </c>
      <c r="F208" s="10"/>
      <c r="G208" s="10">
        <v>0.24</v>
      </c>
      <c r="H208" s="10"/>
      <c r="I208" s="10">
        <v>0.24</v>
      </c>
      <c r="J208" s="14">
        <v>1</v>
      </c>
      <c r="K208" s="10">
        <v>-68.2508933302347</v>
      </c>
      <c r="L208" s="10">
        <v>26.0830471763886</v>
      </c>
      <c r="M208" s="14">
        <v>1</v>
      </c>
      <c r="N208" s="14">
        <v>1</v>
      </c>
      <c r="O208" s="14">
        <v>1</v>
      </c>
      <c r="P208" s="14">
        <v>1</v>
      </c>
      <c r="Q208" s="10">
        <v>39.4410858085809</v>
      </c>
      <c r="R208" s="10">
        <v>51.102</v>
      </c>
      <c r="S208" s="14">
        <v>0.993399339933993</v>
      </c>
      <c r="T208" s="18">
        <v>10</v>
      </c>
      <c r="U208" s="18">
        <v>10</v>
      </c>
      <c r="V208" s="18">
        <v>0</v>
      </c>
      <c r="W208" s="14">
        <v>0</v>
      </c>
      <c r="X208" s="10">
        <v>24.1757133333333</v>
      </c>
      <c r="Y208" s="10">
        <v>26.631</v>
      </c>
      <c r="Z208" s="14">
        <v>1</v>
      </c>
      <c r="AA208" s="18">
        <v>10</v>
      </c>
      <c r="AB208" s="18">
        <v>10</v>
      </c>
      <c r="AC208" s="18">
        <v>0</v>
      </c>
      <c r="AD208" s="14">
        <v>0</v>
      </c>
      <c r="AE208" s="10"/>
      <c r="AF208" s="10"/>
      <c r="AG208" s="14"/>
      <c r="AH208" s="14"/>
      <c r="AI208" s="14"/>
      <c r="AJ208" s="14"/>
      <c r="AK208" s="10"/>
      <c r="AL208" s="10"/>
      <c r="AM208" s="14"/>
      <c r="AN208" s="18"/>
      <c r="AO208" s="18"/>
      <c r="AP208" s="18"/>
      <c r="AQ208" s="14"/>
      <c r="AR208" s="10"/>
      <c r="AS208" s="10"/>
      <c r="AT208" s="14"/>
      <c r="AU208" s="18"/>
      <c r="AV208" s="18"/>
      <c r="AW208" s="18"/>
      <c r="AX208" s="14"/>
    </row>
    <row r="209" spans="1:50">
      <c r="A209" s="3" t="s">
        <v>51</v>
      </c>
      <c r="B209" s="4" t="s">
        <v>58</v>
      </c>
      <c r="C209" s="6" t="s">
        <v>49</v>
      </c>
      <c r="D209" s="6" t="s">
        <v>50</v>
      </c>
      <c r="E209" s="4">
        <v>3</v>
      </c>
      <c r="F209" s="11">
        <v>5.39874204570055</v>
      </c>
      <c r="G209" s="11">
        <v>0.643763888888889</v>
      </c>
      <c r="H209" s="11">
        <v>8.38621447844576</v>
      </c>
      <c r="I209" s="11">
        <v>0.641344444444444</v>
      </c>
      <c r="J209" s="15">
        <v>0.996241720782723</v>
      </c>
      <c r="K209" s="11">
        <v>-67.8449735821544</v>
      </c>
      <c r="L209" s="11">
        <v>10.2833997187141</v>
      </c>
      <c r="M209" s="15">
        <v>0.977355861348197</v>
      </c>
      <c r="N209" s="15">
        <v>0.977355861348197</v>
      </c>
      <c r="O209" s="15">
        <v>0.980944055944056</v>
      </c>
      <c r="P209" s="15">
        <v>0.980944055944056</v>
      </c>
      <c r="Q209" s="11">
        <v>24.4063285009823</v>
      </c>
      <c r="R209" s="11">
        <v>49.84</v>
      </c>
      <c r="S209" s="15">
        <v>0.719056974459725</v>
      </c>
      <c r="T209" s="19">
        <v>18</v>
      </c>
      <c r="U209" s="19">
        <v>17</v>
      </c>
      <c r="V209" s="19">
        <v>0</v>
      </c>
      <c r="W209" s="15">
        <v>0</v>
      </c>
      <c r="X209" s="11">
        <v>18.3857227962963</v>
      </c>
      <c r="Y209" s="11">
        <v>25.587</v>
      </c>
      <c r="Z209" s="15">
        <v>0.916666666666667</v>
      </c>
      <c r="AA209" s="19">
        <v>18</v>
      </c>
      <c r="AB209" s="19">
        <v>18</v>
      </c>
      <c r="AC209" s="19">
        <v>0</v>
      </c>
      <c r="AD209" s="15">
        <v>0</v>
      </c>
      <c r="AE209" s="11">
        <v>-68.1408797241919</v>
      </c>
      <c r="AF209" s="11">
        <v>9.54342029724122</v>
      </c>
      <c r="AG209" s="15">
        <v>0.986725663716814</v>
      </c>
      <c r="AH209" s="15">
        <v>0.986725663716814</v>
      </c>
      <c r="AI209" s="15">
        <v>0.995535714285714</v>
      </c>
      <c r="AJ209" s="15">
        <v>0.995535714285714</v>
      </c>
      <c r="AK209" s="11">
        <v>23.3302410069048</v>
      </c>
      <c r="AL209" s="11">
        <v>47.9011824444444</v>
      </c>
      <c r="AM209" s="15">
        <v>0.764705882352941</v>
      </c>
      <c r="AN209" s="19">
        <v>18</v>
      </c>
      <c r="AO209" s="19">
        <v>17</v>
      </c>
      <c r="AP209" s="19">
        <v>0</v>
      </c>
      <c r="AQ209" s="15">
        <v>0</v>
      </c>
      <c r="AR209" s="11">
        <v>18.4086408720137</v>
      </c>
      <c r="AS209" s="11">
        <v>24.449364625</v>
      </c>
      <c r="AT209" s="15">
        <v>0.971428571428571</v>
      </c>
      <c r="AU209" s="19">
        <v>18</v>
      </c>
      <c r="AV209" s="19">
        <v>18</v>
      </c>
      <c r="AW209" s="19">
        <v>0</v>
      </c>
      <c r="AX209" s="15">
        <v>0</v>
      </c>
    </row>
    <row r="210" spans="1:50">
      <c r="A210" s="3" t="s">
        <v>51</v>
      </c>
      <c r="B210" s="4" t="s">
        <v>58</v>
      </c>
      <c r="C210" s="4" t="s">
        <v>49</v>
      </c>
      <c r="D210" s="4" t="s">
        <v>64</v>
      </c>
      <c r="E210" s="4">
        <v>1</v>
      </c>
      <c r="F210" s="11">
        <v>214.137143812954</v>
      </c>
      <c r="G210" s="11">
        <v>7.05371305555555</v>
      </c>
      <c r="H210" s="11">
        <v>30.3580741272568</v>
      </c>
      <c r="I210" s="11">
        <v>6.99499916666667</v>
      </c>
      <c r="J210" s="15">
        <v>0.991676172758028</v>
      </c>
      <c r="K210" s="11">
        <v>-67.6849892369435</v>
      </c>
      <c r="L210" s="11">
        <v>13.3916880671558</v>
      </c>
      <c r="M210" s="15">
        <v>0.972896167942436</v>
      </c>
      <c r="N210" s="15">
        <v>0.973101979751284</v>
      </c>
      <c r="O210" s="15">
        <v>0.98076846347205</v>
      </c>
      <c r="P210" s="15">
        <v>0.980975940629613</v>
      </c>
      <c r="Q210" s="11">
        <v>85.9252337906359</v>
      </c>
      <c r="R210" s="11">
        <v>127.498</v>
      </c>
      <c r="S210" s="15">
        <v>0.987119198527908</v>
      </c>
      <c r="T210" s="19">
        <v>164</v>
      </c>
      <c r="U210" s="19">
        <v>164</v>
      </c>
      <c r="V210" s="19">
        <v>0</v>
      </c>
      <c r="W210" s="15">
        <v>0</v>
      </c>
      <c r="X210" s="11">
        <v>61.1398711493104</v>
      </c>
      <c r="Y210" s="11">
        <v>90.1499</v>
      </c>
      <c r="Z210" s="15">
        <v>0.995002998201079</v>
      </c>
      <c r="AA210" s="19">
        <v>168</v>
      </c>
      <c r="AB210" s="19">
        <v>168</v>
      </c>
      <c r="AC210" s="19">
        <v>0</v>
      </c>
      <c r="AD210" s="15">
        <v>0</v>
      </c>
      <c r="AE210" s="11">
        <v>-67.1292845302994</v>
      </c>
      <c r="AF210" s="11">
        <v>12.7649536837054</v>
      </c>
      <c r="AG210" s="15">
        <v>0.969784172661871</v>
      </c>
      <c r="AH210" s="15">
        <v>0.970005534034311</v>
      </c>
      <c r="AI210" s="15">
        <v>0.981516746947463</v>
      </c>
      <c r="AJ210" s="15">
        <v>0.981740786378403</v>
      </c>
      <c r="AK210" s="11">
        <v>83.1437092206379</v>
      </c>
      <c r="AL210" s="11">
        <v>124.303731666667</v>
      </c>
      <c r="AM210" s="15">
        <v>0.985164835164835</v>
      </c>
      <c r="AN210" s="19">
        <v>164</v>
      </c>
      <c r="AO210" s="19">
        <v>164</v>
      </c>
      <c r="AP210" s="19">
        <v>0</v>
      </c>
      <c r="AQ210" s="15">
        <v>0</v>
      </c>
      <c r="AR210" s="11">
        <v>62.5494013295091</v>
      </c>
      <c r="AS210" s="11">
        <v>89.206349</v>
      </c>
      <c r="AT210" s="15">
        <v>0.995302713987474</v>
      </c>
      <c r="AU210" s="19">
        <v>168</v>
      </c>
      <c r="AV210" s="19">
        <v>168</v>
      </c>
      <c r="AW210" s="19">
        <v>0</v>
      </c>
      <c r="AX210" s="15">
        <v>0</v>
      </c>
    </row>
    <row r="211" spans="1:50">
      <c r="A211" s="3" t="s">
        <v>44</v>
      </c>
      <c r="B211" s="3" t="s">
        <v>48</v>
      </c>
      <c r="C211" s="8" t="s">
        <v>49</v>
      </c>
      <c r="D211" s="8" t="s">
        <v>64</v>
      </c>
      <c r="E211" s="4">
        <v>1</v>
      </c>
      <c r="F211" s="10">
        <v>215.535</v>
      </c>
      <c r="G211" s="10">
        <v>6.274</v>
      </c>
      <c r="H211" s="10">
        <v>34.3536818616513</v>
      </c>
      <c r="I211" s="10">
        <v>6.2551319986</v>
      </c>
      <c r="J211" s="14">
        <v>0.996992936820571</v>
      </c>
      <c r="K211" s="10">
        <v>-67.5367452508655</v>
      </c>
      <c r="L211" s="10">
        <v>13.8444543742264</v>
      </c>
      <c r="M211" s="14">
        <v>0.980023964089633</v>
      </c>
      <c r="N211" s="14">
        <v>0.980095498685552</v>
      </c>
      <c r="O211" s="14">
        <v>0.983012538791325</v>
      </c>
      <c r="P211" s="14">
        <v>0.983084291531383</v>
      </c>
      <c r="Q211" s="10">
        <v>75.8380358644571</v>
      </c>
      <c r="R211" s="10">
        <v>106.547</v>
      </c>
      <c r="S211" s="14">
        <v>0.975636903289636</v>
      </c>
      <c r="T211" s="18">
        <v>266</v>
      </c>
      <c r="U211" s="18">
        <v>266</v>
      </c>
      <c r="V211" s="18">
        <v>0</v>
      </c>
      <c r="W211" s="14">
        <v>0</v>
      </c>
      <c r="X211" s="10">
        <v>40.8542932102668</v>
      </c>
      <c r="Y211" s="10">
        <v>59.935</v>
      </c>
      <c r="Z211" s="14">
        <v>0.993930964723732</v>
      </c>
      <c r="AA211" s="18">
        <v>264</v>
      </c>
      <c r="AB211" s="18">
        <v>264</v>
      </c>
      <c r="AC211" s="18">
        <v>0</v>
      </c>
      <c r="AD211" s="14">
        <v>0</v>
      </c>
      <c r="AE211" s="10">
        <v>-68.032236370391</v>
      </c>
      <c r="AF211" s="10">
        <v>13.2437478406241</v>
      </c>
      <c r="AG211" s="14">
        <v>0.980491863905325</v>
      </c>
      <c r="AH211" s="14">
        <v>0.980491863905325</v>
      </c>
      <c r="AI211" s="14">
        <v>0.98495402619114</v>
      </c>
      <c r="AJ211" s="14">
        <v>0.98495402619114</v>
      </c>
      <c r="AK211" s="10">
        <v>72.5093908290313</v>
      </c>
      <c r="AL211" s="10">
        <v>100.387</v>
      </c>
      <c r="AM211" s="14">
        <v>0.985727300334042</v>
      </c>
      <c r="AN211" s="18">
        <v>266</v>
      </c>
      <c r="AO211" s="18">
        <v>266</v>
      </c>
      <c r="AP211" s="18">
        <v>0</v>
      </c>
      <c r="AQ211" s="14">
        <v>0</v>
      </c>
      <c r="AR211" s="10">
        <v>42.0584896591902</v>
      </c>
      <c r="AS211" s="10">
        <v>59.668</v>
      </c>
      <c r="AT211" s="14">
        <v>0.997087095834547</v>
      </c>
      <c r="AU211" s="18">
        <v>264</v>
      </c>
      <c r="AV211" s="18">
        <v>264</v>
      </c>
      <c r="AW211" s="18">
        <v>0</v>
      </c>
      <c r="AX211" s="14">
        <v>0</v>
      </c>
    </row>
    <row r="212" spans="1:50">
      <c r="A212" s="3" t="s">
        <v>44</v>
      </c>
      <c r="B212" s="3" t="s">
        <v>48</v>
      </c>
      <c r="C212" s="4" t="s">
        <v>46</v>
      </c>
      <c r="D212" s="5" t="s">
        <v>57</v>
      </c>
      <c r="E212" s="7">
        <v>3</v>
      </c>
      <c r="F212" s="10"/>
      <c r="G212" s="10">
        <v>0.238</v>
      </c>
      <c r="H212" s="10"/>
      <c r="I212" s="10">
        <v>0.238</v>
      </c>
      <c r="J212" s="14">
        <v>1</v>
      </c>
      <c r="K212" s="10">
        <v>-67.3424019434629</v>
      </c>
      <c r="L212" s="10">
        <v>17.9210630153121</v>
      </c>
      <c r="M212" s="14">
        <v>1</v>
      </c>
      <c r="N212" s="14">
        <v>1</v>
      </c>
      <c r="O212" s="14">
        <v>1</v>
      </c>
      <c r="P212" s="14">
        <v>1</v>
      </c>
      <c r="Q212" s="10">
        <v>80.7489013157895</v>
      </c>
      <c r="R212" s="10">
        <v>98.23</v>
      </c>
      <c r="S212" s="14">
        <v>0.980263157894737</v>
      </c>
      <c r="T212" s="18">
        <v>10</v>
      </c>
      <c r="U212" s="18">
        <v>10</v>
      </c>
      <c r="V212" s="18">
        <v>0</v>
      </c>
      <c r="W212" s="14">
        <v>0</v>
      </c>
      <c r="X212" s="10">
        <v>29.74941</v>
      </c>
      <c r="Y212" s="10">
        <v>31.597</v>
      </c>
      <c r="Z212" s="14">
        <v>1</v>
      </c>
      <c r="AA212" s="18">
        <v>10</v>
      </c>
      <c r="AB212" s="18">
        <v>10</v>
      </c>
      <c r="AC212" s="18">
        <v>0</v>
      </c>
      <c r="AD212" s="14">
        <v>0</v>
      </c>
      <c r="AE212" s="10"/>
      <c r="AF212" s="10"/>
      <c r="AG212" s="14"/>
      <c r="AH212" s="14"/>
      <c r="AI212" s="14"/>
      <c r="AJ212" s="14"/>
      <c r="AK212" s="10"/>
      <c r="AL212" s="10"/>
      <c r="AM212" s="14"/>
      <c r="AN212" s="18"/>
      <c r="AO212" s="18"/>
      <c r="AP212" s="18"/>
      <c r="AQ212" s="14"/>
      <c r="AR212" s="10"/>
      <c r="AS212" s="10"/>
      <c r="AT212" s="14"/>
      <c r="AU212" s="18"/>
      <c r="AV212" s="18"/>
      <c r="AW212" s="18"/>
      <c r="AX212" s="14"/>
    </row>
    <row r="213" spans="1:50">
      <c r="A213" s="3" t="s">
        <v>51</v>
      </c>
      <c r="B213" s="6" t="s">
        <v>55</v>
      </c>
      <c r="C213" s="6" t="s">
        <v>49</v>
      </c>
      <c r="D213" s="6" t="s">
        <v>50</v>
      </c>
      <c r="E213" s="5">
        <v>2</v>
      </c>
      <c r="F213" s="11">
        <v>1.83603561258316</v>
      </c>
      <c r="G213" s="11">
        <v>0.400291666666667</v>
      </c>
      <c r="H213" s="11">
        <v>4.58674453023794</v>
      </c>
      <c r="I213" s="11">
        <v>0.400263888888889</v>
      </c>
      <c r="J213" s="15">
        <v>0.999930606155234</v>
      </c>
      <c r="K213" s="11">
        <v>-67.1492853870655</v>
      </c>
      <c r="L213" s="11">
        <v>14.5793661217457</v>
      </c>
      <c r="M213" s="15">
        <v>0.998884706538408</v>
      </c>
      <c r="N213" s="15">
        <v>0.998884706538408</v>
      </c>
      <c r="O213" s="15">
        <v>0.998884706538408</v>
      </c>
      <c r="P213" s="15">
        <v>0.998884706538408</v>
      </c>
      <c r="Q213" s="11">
        <v>19.3332729424242</v>
      </c>
      <c r="R213" s="11">
        <v>29.2925</v>
      </c>
      <c r="S213" s="15">
        <v>0.96969696969697</v>
      </c>
      <c r="T213" s="19">
        <v>11</v>
      </c>
      <c r="U213" s="19">
        <v>11</v>
      </c>
      <c r="V213" s="19">
        <v>0</v>
      </c>
      <c r="W213" s="15">
        <v>0</v>
      </c>
      <c r="X213" s="11">
        <v>10.6192761727273</v>
      </c>
      <c r="Y213" s="11">
        <v>14.2999</v>
      </c>
      <c r="Z213" s="15">
        <v>0.993939393939394</v>
      </c>
      <c r="AA213" s="19">
        <v>11</v>
      </c>
      <c r="AB213" s="19">
        <v>11</v>
      </c>
      <c r="AC213" s="19">
        <v>0</v>
      </c>
      <c r="AD213" s="15">
        <v>0</v>
      </c>
      <c r="AE213" s="11">
        <v>-67.8804048619954</v>
      </c>
      <c r="AF213" s="11">
        <v>13.8945179330912</v>
      </c>
      <c r="AG213" s="15">
        <v>1</v>
      </c>
      <c r="AH213" s="15">
        <v>1</v>
      </c>
      <c r="AI213" s="15">
        <v>1</v>
      </c>
      <c r="AJ213" s="15">
        <v>1</v>
      </c>
      <c r="AK213" s="11">
        <v>19.0042021732589</v>
      </c>
      <c r="AL213" s="11">
        <v>25.4790928461538</v>
      </c>
      <c r="AM213" s="15">
        <v>0.972222222222222</v>
      </c>
      <c r="AN213" s="19">
        <v>11</v>
      </c>
      <c r="AO213" s="19">
        <v>11</v>
      </c>
      <c r="AP213" s="19">
        <v>0</v>
      </c>
      <c r="AQ213" s="15">
        <v>0</v>
      </c>
      <c r="AR213" s="11">
        <v>10.5799927484386</v>
      </c>
      <c r="AS213" s="11">
        <v>13.79662025</v>
      </c>
      <c r="AT213" s="15">
        <v>1</v>
      </c>
      <c r="AU213" s="19">
        <v>11</v>
      </c>
      <c r="AV213" s="19">
        <v>11</v>
      </c>
      <c r="AW213" s="19">
        <v>0</v>
      </c>
      <c r="AX213" s="15">
        <v>0</v>
      </c>
    </row>
    <row r="214" spans="1:50">
      <c r="A214" s="3" t="s">
        <v>51</v>
      </c>
      <c r="B214" s="4" t="s">
        <v>58</v>
      </c>
      <c r="C214" s="5" t="s">
        <v>46</v>
      </c>
      <c r="D214" s="6" t="s">
        <v>53</v>
      </c>
      <c r="E214" s="4">
        <v>2</v>
      </c>
      <c r="F214" s="11" t="s">
        <v>54</v>
      </c>
      <c r="G214" s="11">
        <v>0.3937</v>
      </c>
      <c r="H214" s="11" t="s">
        <v>54</v>
      </c>
      <c r="I214" s="11">
        <v>0.393669444444444</v>
      </c>
      <c r="J214" s="15">
        <v>0.999922388733666</v>
      </c>
      <c r="K214" s="11">
        <v>-67.0067439645664</v>
      </c>
      <c r="L214" s="11">
        <v>17.1855956798267</v>
      </c>
      <c r="M214" s="15">
        <v>1</v>
      </c>
      <c r="N214" s="15">
        <v>1</v>
      </c>
      <c r="O214" s="15">
        <v>1</v>
      </c>
      <c r="P214" s="15">
        <v>1</v>
      </c>
      <c r="Q214" s="11">
        <v>68.6635731</v>
      </c>
      <c r="R214" s="11">
        <v>97.7719</v>
      </c>
      <c r="S214" s="15">
        <v>0.993333333333333</v>
      </c>
      <c r="T214" s="19">
        <v>10</v>
      </c>
      <c r="U214" s="19">
        <v>10</v>
      </c>
      <c r="V214" s="19">
        <v>0</v>
      </c>
      <c r="W214" s="15">
        <v>0</v>
      </c>
      <c r="X214" s="11">
        <v>21.4117606233333</v>
      </c>
      <c r="Y214" s="11">
        <v>22.9254</v>
      </c>
      <c r="Z214" s="15">
        <v>0.996666666666667</v>
      </c>
      <c r="AA214" s="19">
        <v>10</v>
      </c>
      <c r="AB214" s="19">
        <v>10</v>
      </c>
      <c r="AC214" s="19">
        <v>0</v>
      </c>
      <c r="AD214" s="15">
        <v>0</v>
      </c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</row>
    <row r="215" spans="1:50">
      <c r="A215" s="3" t="s">
        <v>44</v>
      </c>
      <c r="B215" s="7" t="s">
        <v>60</v>
      </c>
      <c r="C215" s="8" t="s">
        <v>49</v>
      </c>
      <c r="D215" s="8" t="s">
        <v>64</v>
      </c>
      <c r="E215" s="4">
        <v>1</v>
      </c>
      <c r="F215" s="10">
        <v>220.966</v>
      </c>
      <c r="G215" s="10">
        <v>5.739</v>
      </c>
      <c r="H215" s="10">
        <v>38.5025265725736</v>
      </c>
      <c r="I215" s="10">
        <v>5.6643805256</v>
      </c>
      <c r="J215" s="14">
        <v>0.986997020654626</v>
      </c>
      <c r="K215" s="10">
        <v>-66.963826753829</v>
      </c>
      <c r="L215" s="10">
        <v>10.3955731401628</v>
      </c>
      <c r="M215" s="14">
        <v>0.94206683424194</v>
      </c>
      <c r="N215" s="14">
        <v>0.942132123309285</v>
      </c>
      <c r="O215" s="14">
        <v>0.956006581344759</v>
      </c>
      <c r="P215" s="14">
        <v>0.956072836493336</v>
      </c>
      <c r="Q215" s="10">
        <v>50.2714046075321</v>
      </c>
      <c r="R215" s="10">
        <v>82.577</v>
      </c>
      <c r="S215" s="14">
        <v>0.955855980135191</v>
      </c>
      <c r="T215" s="18">
        <v>240</v>
      </c>
      <c r="U215" s="18">
        <v>240</v>
      </c>
      <c r="V215" s="18">
        <v>0</v>
      </c>
      <c r="W215" s="14">
        <v>0</v>
      </c>
      <c r="X215" s="10">
        <v>25.5719623066104</v>
      </c>
      <c r="Y215" s="10">
        <v>45.678</v>
      </c>
      <c r="Z215" s="14">
        <v>0.984106891701828</v>
      </c>
      <c r="AA215" s="18">
        <v>240</v>
      </c>
      <c r="AB215" s="18">
        <v>240</v>
      </c>
      <c r="AC215" s="18">
        <v>0</v>
      </c>
      <c r="AD215" s="14">
        <v>0</v>
      </c>
      <c r="AE215" s="10">
        <v>-67.774897425897</v>
      </c>
      <c r="AF215" s="10">
        <v>9.13180674726989</v>
      </c>
      <c r="AG215" s="14">
        <v>0.928974285441163</v>
      </c>
      <c r="AH215" s="14">
        <v>0.928974285441163</v>
      </c>
      <c r="AI215" s="14">
        <v>0.947542901716069</v>
      </c>
      <c r="AJ215" s="14">
        <v>0.947542901716069</v>
      </c>
      <c r="AK215" s="10">
        <v>44.653821266283</v>
      </c>
      <c r="AL215" s="10">
        <v>72.359</v>
      </c>
      <c r="AM215" s="14">
        <v>0.948500454407755</v>
      </c>
      <c r="AN215" s="18">
        <v>240</v>
      </c>
      <c r="AO215" s="18">
        <v>240</v>
      </c>
      <c r="AP215" s="18">
        <v>0</v>
      </c>
      <c r="AQ215" s="14">
        <v>0</v>
      </c>
      <c r="AR215" s="10">
        <v>24.9198719420115</v>
      </c>
      <c r="AS215" s="10">
        <v>44.648</v>
      </c>
      <c r="AT215" s="14">
        <v>0.977046209604349</v>
      </c>
      <c r="AU215" s="18">
        <v>240</v>
      </c>
      <c r="AV215" s="18">
        <v>240</v>
      </c>
      <c r="AW215" s="18">
        <v>0</v>
      </c>
      <c r="AX215" s="14">
        <v>0</v>
      </c>
    </row>
    <row r="216" spans="1:50">
      <c r="A216" s="3" t="s">
        <v>51</v>
      </c>
      <c r="B216" s="6" t="s">
        <v>55</v>
      </c>
      <c r="C216" s="6" t="s">
        <v>49</v>
      </c>
      <c r="D216" s="6" t="s">
        <v>61</v>
      </c>
      <c r="E216" s="6">
        <v>1</v>
      </c>
      <c r="F216" s="11">
        <v>2.15796139836311</v>
      </c>
      <c r="G216" s="11">
        <v>0.457611111111111</v>
      </c>
      <c r="H216" s="11">
        <v>4.71571023073158</v>
      </c>
      <c r="I216" s="11">
        <v>0.452058333333333</v>
      </c>
      <c r="J216" s="15">
        <v>0.987865727813524</v>
      </c>
      <c r="K216" s="11">
        <v>-66.789166176413</v>
      </c>
      <c r="L216" s="11">
        <v>13.2550936876157</v>
      </c>
      <c r="M216" s="15">
        <v>0.968636032093362</v>
      </c>
      <c r="N216" s="15">
        <v>0.968636032093362</v>
      </c>
      <c r="O216" s="15">
        <v>0.980314960629921</v>
      </c>
      <c r="P216" s="15">
        <v>0.980314960629921</v>
      </c>
      <c r="Q216" s="11">
        <v>45.3863819461538</v>
      </c>
      <c r="R216" s="11">
        <v>76.3609</v>
      </c>
      <c r="S216" s="15">
        <v>0.997435897435897</v>
      </c>
      <c r="T216" s="19">
        <v>13</v>
      </c>
      <c r="U216" s="19">
        <v>13</v>
      </c>
      <c r="V216" s="19">
        <v>0</v>
      </c>
      <c r="W216" s="15">
        <v>0</v>
      </c>
      <c r="X216" s="11">
        <v>69.1404337589744</v>
      </c>
      <c r="Y216" s="11">
        <v>94.1923</v>
      </c>
      <c r="Z216" s="15">
        <v>1</v>
      </c>
      <c r="AA216" s="19">
        <v>13</v>
      </c>
      <c r="AB216" s="19">
        <v>13</v>
      </c>
      <c r="AC216" s="19">
        <v>0</v>
      </c>
      <c r="AD216" s="15">
        <v>0</v>
      </c>
      <c r="AE216" s="11">
        <v>-66.8856358542553</v>
      </c>
      <c r="AF216" s="11">
        <v>13.1054121538163</v>
      </c>
      <c r="AG216" s="15">
        <v>0.950980392156863</v>
      </c>
      <c r="AH216" s="15">
        <v>0.950980392156863</v>
      </c>
      <c r="AI216" s="15">
        <v>0.97979797979798</v>
      </c>
      <c r="AJ216" s="15">
        <v>0.97979797979798</v>
      </c>
      <c r="AK216" s="11">
        <v>47.3750583291022</v>
      </c>
      <c r="AL216" s="11">
        <v>77.699939</v>
      </c>
      <c r="AM216" s="15">
        <v>1</v>
      </c>
      <c r="AN216" s="19">
        <v>13</v>
      </c>
      <c r="AO216" s="19">
        <v>13</v>
      </c>
      <c r="AP216" s="19">
        <v>0</v>
      </c>
      <c r="AQ216" s="15">
        <v>0</v>
      </c>
      <c r="AR216" s="11">
        <v>67.9985231927131</v>
      </c>
      <c r="AS216" s="11">
        <v>93.2472812142857</v>
      </c>
      <c r="AT216" s="15">
        <v>1</v>
      </c>
      <c r="AU216" s="19">
        <v>13</v>
      </c>
      <c r="AV216" s="19">
        <v>13</v>
      </c>
      <c r="AW216" s="19">
        <v>0</v>
      </c>
      <c r="AX216" s="15">
        <v>0</v>
      </c>
    </row>
    <row r="217" spans="1:50">
      <c r="A217" s="3" t="s">
        <v>44</v>
      </c>
      <c r="B217" s="3" t="s">
        <v>59</v>
      </c>
      <c r="C217" s="4" t="s">
        <v>49</v>
      </c>
      <c r="D217" s="5" t="s">
        <v>50</v>
      </c>
      <c r="E217" s="7">
        <v>1</v>
      </c>
      <c r="F217" s="10">
        <v>2.718</v>
      </c>
      <c r="G217" s="10">
        <v>0.609</v>
      </c>
      <c r="H217" s="10">
        <v>4.46305418719212</v>
      </c>
      <c r="I217" s="10">
        <v>0.609</v>
      </c>
      <c r="J217" s="14">
        <v>1</v>
      </c>
      <c r="K217" s="10">
        <v>-66.7442262426901</v>
      </c>
      <c r="L217" s="10">
        <v>23.6364888523392</v>
      </c>
      <c r="M217" s="14">
        <v>0.999725877192982</v>
      </c>
      <c r="N217" s="14">
        <v>0.999725877192982</v>
      </c>
      <c r="O217" s="14">
        <v>0.999725877192982</v>
      </c>
      <c r="P217" s="14">
        <v>0.999725877192982</v>
      </c>
      <c r="Q217" s="10">
        <v>77.4370720606827</v>
      </c>
      <c r="R217" s="10">
        <v>108.113</v>
      </c>
      <c r="S217" s="14">
        <v>0.989886219974716</v>
      </c>
      <c r="T217" s="18">
        <v>26</v>
      </c>
      <c r="U217" s="18">
        <v>26</v>
      </c>
      <c r="V217" s="18">
        <v>0</v>
      </c>
      <c r="W217" s="14">
        <v>0</v>
      </c>
      <c r="X217" s="10">
        <v>64.1752820512821</v>
      </c>
      <c r="Y217" s="10">
        <v>104.117</v>
      </c>
      <c r="Z217" s="14">
        <v>1</v>
      </c>
      <c r="AA217" s="18">
        <v>26</v>
      </c>
      <c r="AB217" s="18">
        <v>26</v>
      </c>
      <c r="AC217" s="18">
        <v>0</v>
      </c>
      <c r="AD217" s="14">
        <v>0</v>
      </c>
      <c r="AE217" s="10">
        <v>-66.6046091954023</v>
      </c>
      <c r="AF217" s="10">
        <v>23.688183908046</v>
      </c>
      <c r="AG217" s="14">
        <v>1</v>
      </c>
      <c r="AH217" s="14">
        <v>1</v>
      </c>
      <c r="AI217" s="14">
        <v>1</v>
      </c>
      <c r="AJ217" s="14">
        <v>1</v>
      </c>
      <c r="AK217" s="10">
        <v>75.203234375</v>
      </c>
      <c r="AL217" s="10">
        <v>105.486</v>
      </c>
      <c r="AM217" s="14">
        <v>1</v>
      </c>
      <c r="AN217" s="18">
        <v>26</v>
      </c>
      <c r="AO217" s="18">
        <v>26</v>
      </c>
      <c r="AP217" s="18">
        <v>0</v>
      </c>
      <c r="AQ217" s="14">
        <v>0</v>
      </c>
      <c r="AR217" s="10">
        <v>64.5263424657534</v>
      </c>
      <c r="AS217" s="10">
        <v>97.864</v>
      </c>
      <c r="AT217" s="14">
        <v>1</v>
      </c>
      <c r="AU217" s="18">
        <v>26</v>
      </c>
      <c r="AV217" s="18">
        <v>26</v>
      </c>
      <c r="AW217" s="18">
        <v>0</v>
      </c>
      <c r="AX217" s="14">
        <v>0</v>
      </c>
    </row>
    <row r="218" spans="1:50">
      <c r="A218" s="3" t="s">
        <v>44</v>
      </c>
      <c r="B218" s="7" t="s">
        <v>60</v>
      </c>
      <c r="C218" s="4" t="s">
        <v>46</v>
      </c>
      <c r="D218" s="5" t="s">
        <v>57</v>
      </c>
      <c r="E218" s="7">
        <v>2</v>
      </c>
      <c r="F218" s="10"/>
      <c r="G218" s="10">
        <v>0.236</v>
      </c>
      <c r="H218" s="10"/>
      <c r="I218" s="10">
        <v>0.236</v>
      </c>
      <c r="J218" s="14">
        <v>1</v>
      </c>
      <c r="K218" s="10">
        <v>-66.4171494355318</v>
      </c>
      <c r="L218" s="10">
        <v>8.28057635175282</v>
      </c>
      <c r="M218" s="14">
        <v>1</v>
      </c>
      <c r="N218" s="14">
        <v>1</v>
      </c>
      <c r="O218" s="14">
        <v>1</v>
      </c>
      <c r="P218" s="14">
        <v>1</v>
      </c>
      <c r="Q218" s="10">
        <v>29.3941737704918</v>
      </c>
      <c r="R218" s="10">
        <v>33.991</v>
      </c>
      <c r="S218" s="14">
        <v>0.99016393442623</v>
      </c>
      <c r="T218" s="18">
        <v>10</v>
      </c>
      <c r="U218" s="18">
        <v>10</v>
      </c>
      <c r="V218" s="18">
        <v>0</v>
      </c>
      <c r="W218" s="14">
        <v>0</v>
      </c>
      <c r="X218" s="10">
        <v>23.3743533333333</v>
      </c>
      <c r="Y218" s="10">
        <v>24.78</v>
      </c>
      <c r="Z218" s="14">
        <v>1</v>
      </c>
      <c r="AA218" s="18">
        <v>10</v>
      </c>
      <c r="AB218" s="18">
        <v>10</v>
      </c>
      <c r="AC218" s="18">
        <v>0</v>
      </c>
      <c r="AD218" s="14">
        <v>0</v>
      </c>
      <c r="AE218" s="10"/>
      <c r="AF218" s="10"/>
      <c r="AG218" s="14"/>
      <c r="AH218" s="14"/>
      <c r="AI218" s="14"/>
      <c r="AJ218" s="14"/>
      <c r="AK218" s="10"/>
      <c r="AL218" s="10"/>
      <c r="AM218" s="14"/>
      <c r="AN218" s="18"/>
      <c r="AO218" s="18"/>
      <c r="AP218" s="18"/>
      <c r="AQ218" s="14"/>
      <c r="AR218" s="10"/>
      <c r="AS218" s="10"/>
      <c r="AT218" s="14"/>
      <c r="AU218" s="18"/>
      <c r="AV218" s="18"/>
      <c r="AW218" s="18"/>
      <c r="AX218" s="14"/>
    </row>
    <row r="219" spans="1:50">
      <c r="A219" s="3" t="s">
        <v>44</v>
      </c>
      <c r="B219" s="3" t="s">
        <v>56</v>
      </c>
      <c r="C219" s="4" t="s">
        <v>46</v>
      </c>
      <c r="D219" s="5" t="s">
        <v>53</v>
      </c>
      <c r="E219" s="7">
        <v>3</v>
      </c>
      <c r="F219" s="10"/>
      <c r="G219" s="10">
        <v>0.243</v>
      </c>
      <c r="H219" s="10"/>
      <c r="I219" s="10">
        <v>0.243</v>
      </c>
      <c r="J219" s="14">
        <v>1</v>
      </c>
      <c r="K219" s="10">
        <v>-66.3970396609143</v>
      </c>
      <c r="L219" s="10">
        <v>22.315974568574</v>
      </c>
      <c r="M219" s="14">
        <v>1</v>
      </c>
      <c r="N219" s="14">
        <v>1</v>
      </c>
      <c r="O219" s="14">
        <v>1</v>
      </c>
      <c r="P219" s="14">
        <v>1</v>
      </c>
      <c r="Q219" s="10">
        <v>80.2454039735099</v>
      </c>
      <c r="R219" s="10">
        <v>88.153</v>
      </c>
      <c r="S219" s="14">
        <v>0.986754966887417</v>
      </c>
      <c r="T219" s="18">
        <v>10</v>
      </c>
      <c r="U219" s="18">
        <v>10</v>
      </c>
      <c r="V219" s="18">
        <v>0</v>
      </c>
      <c r="W219" s="14">
        <v>0</v>
      </c>
      <c r="X219" s="10">
        <v>30.0312842809365</v>
      </c>
      <c r="Y219" s="10">
        <v>31.475</v>
      </c>
      <c r="Z219" s="14">
        <v>1</v>
      </c>
      <c r="AA219" s="18">
        <v>10</v>
      </c>
      <c r="AB219" s="18">
        <v>10</v>
      </c>
      <c r="AC219" s="18">
        <v>0</v>
      </c>
      <c r="AD219" s="14">
        <v>0</v>
      </c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</row>
    <row r="220" spans="1:50">
      <c r="A220" s="3" t="s">
        <v>44</v>
      </c>
      <c r="B220" s="7" t="s">
        <v>60</v>
      </c>
      <c r="C220" s="4" t="s">
        <v>46</v>
      </c>
      <c r="D220" s="5" t="s">
        <v>53</v>
      </c>
      <c r="E220" s="7">
        <v>2</v>
      </c>
      <c r="F220" s="10"/>
      <c r="G220" s="10">
        <v>0.24</v>
      </c>
      <c r="H220" s="10"/>
      <c r="I220" s="10">
        <v>0.24</v>
      </c>
      <c r="J220" s="14">
        <v>1</v>
      </c>
      <c r="K220" s="10">
        <v>-66.1796390287237</v>
      </c>
      <c r="L220" s="10">
        <v>11.7504139769026</v>
      </c>
      <c r="M220" s="14">
        <v>1</v>
      </c>
      <c r="N220" s="14">
        <v>1</v>
      </c>
      <c r="O220" s="14">
        <v>1</v>
      </c>
      <c r="P220" s="14">
        <v>1</v>
      </c>
      <c r="Q220" s="10">
        <v>93.3796754966887</v>
      </c>
      <c r="R220" s="10">
        <v>113.523</v>
      </c>
      <c r="S220" s="14">
        <v>0.986754966887417</v>
      </c>
      <c r="T220" s="18">
        <v>10</v>
      </c>
      <c r="U220" s="18">
        <v>10</v>
      </c>
      <c r="V220" s="18">
        <v>0</v>
      </c>
      <c r="W220" s="14">
        <v>0</v>
      </c>
      <c r="X220" s="10">
        <v>23.8426488294314</v>
      </c>
      <c r="Y220" s="10">
        <v>24.843</v>
      </c>
      <c r="Z220" s="14">
        <v>1</v>
      </c>
      <c r="AA220" s="18">
        <v>10</v>
      </c>
      <c r="AB220" s="18">
        <v>10</v>
      </c>
      <c r="AC220" s="18">
        <v>0</v>
      </c>
      <c r="AD220" s="14">
        <v>0</v>
      </c>
      <c r="AE220" s="10"/>
      <c r="AF220" s="10"/>
      <c r="AG220" s="14"/>
      <c r="AH220" s="14"/>
      <c r="AI220" s="14"/>
      <c r="AJ220" s="14"/>
      <c r="AK220" s="10"/>
      <c r="AL220" s="10"/>
      <c r="AM220" s="14"/>
      <c r="AN220" s="18"/>
      <c r="AO220" s="18"/>
      <c r="AP220" s="18"/>
      <c r="AQ220" s="14"/>
      <c r="AR220" s="10"/>
      <c r="AS220" s="10"/>
      <c r="AT220" s="14"/>
      <c r="AU220" s="18"/>
      <c r="AV220" s="18"/>
      <c r="AW220" s="18"/>
      <c r="AX220" s="14"/>
    </row>
    <row r="221" spans="1:50">
      <c r="A221" s="3" t="s">
        <v>44</v>
      </c>
      <c r="B221" s="3" t="s">
        <v>48</v>
      </c>
      <c r="C221" s="4" t="s">
        <v>46</v>
      </c>
      <c r="D221" s="5" t="s">
        <v>57</v>
      </c>
      <c r="E221" s="7">
        <v>2</v>
      </c>
      <c r="F221" s="10"/>
      <c r="G221" s="10">
        <v>0.238</v>
      </c>
      <c r="H221" s="10"/>
      <c r="I221" s="10">
        <v>0.238</v>
      </c>
      <c r="J221" s="14">
        <v>1</v>
      </c>
      <c r="K221" s="10">
        <v>-66.021940688019</v>
      </c>
      <c r="L221" s="10">
        <v>16.8529317912218</v>
      </c>
      <c r="M221" s="14">
        <v>1</v>
      </c>
      <c r="N221" s="14">
        <v>1</v>
      </c>
      <c r="O221" s="14">
        <v>1</v>
      </c>
      <c r="P221" s="14">
        <v>1</v>
      </c>
      <c r="Q221" s="10">
        <v>72.4586209150327</v>
      </c>
      <c r="R221" s="10">
        <v>84.895</v>
      </c>
      <c r="S221" s="14">
        <v>0.986928104575163</v>
      </c>
      <c r="T221" s="18">
        <v>10</v>
      </c>
      <c r="U221" s="18">
        <v>10</v>
      </c>
      <c r="V221" s="18">
        <v>0</v>
      </c>
      <c r="W221" s="14">
        <v>0</v>
      </c>
      <c r="X221" s="10">
        <v>29.2491471571906</v>
      </c>
      <c r="Y221" s="10">
        <v>31.267</v>
      </c>
      <c r="Z221" s="14">
        <v>1</v>
      </c>
      <c r="AA221" s="18">
        <v>10</v>
      </c>
      <c r="AB221" s="18">
        <v>10</v>
      </c>
      <c r="AC221" s="18">
        <v>0</v>
      </c>
      <c r="AD221" s="14">
        <v>0</v>
      </c>
      <c r="AE221" s="10"/>
      <c r="AF221" s="10"/>
      <c r="AG221" s="14"/>
      <c r="AH221" s="14"/>
      <c r="AI221" s="14"/>
      <c r="AJ221" s="14"/>
      <c r="AK221" s="10"/>
      <c r="AL221" s="10"/>
      <c r="AM221" s="14"/>
      <c r="AN221" s="18"/>
      <c r="AO221" s="18"/>
      <c r="AP221" s="18"/>
      <c r="AQ221" s="14"/>
      <c r="AR221" s="10"/>
      <c r="AS221" s="10"/>
      <c r="AT221" s="14"/>
      <c r="AU221" s="18"/>
      <c r="AV221" s="18"/>
      <c r="AW221" s="18"/>
      <c r="AX221" s="14"/>
    </row>
    <row r="222" spans="1:50">
      <c r="A222" s="3" t="s">
        <v>44</v>
      </c>
      <c r="B222" s="3" t="s">
        <v>59</v>
      </c>
      <c r="C222" s="4" t="s">
        <v>46</v>
      </c>
      <c r="D222" s="5" t="s">
        <v>53</v>
      </c>
      <c r="E222" s="7">
        <v>2</v>
      </c>
      <c r="F222" s="10"/>
      <c r="G222" s="10">
        <v>0.241</v>
      </c>
      <c r="H222" s="10"/>
      <c r="I222" s="10">
        <v>0.241</v>
      </c>
      <c r="J222" s="14">
        <v>1</v>
      </c>
      <c r="K222" s="10">
        <v>-66.0034961937716</v>
      </c>
      <c r="L222" s="10">
        <v>12.9080710495963</v>
      </c>
      <c r="M222" s="14">
        <v>1</v>
      </c>
      <c r="N222" s="14">
        <v>1</v>
      </c>
      <c r="O222" s="14">
        <v>1</v>
      </c>
      <c r="P222" s="14">
        <v>1</v>
      </c>
      <c r="Q222" s="10">
        <v>51.1357623762376</v>
      </c>
      <c r="R222" s="10">
        <v>65.72</v>
      </c>
      <c r="S222" s="14">
        <v>0.99009900990099</v>
      </c>
      <c r="T222" s="18">
        <v>10</v>
      </c>
      <c r="U222" s="18">
        <v>10</v>
      </c>
      <c r="V222" s="18">
        <v>0</v>
      </c>
      <c r="W222" s="14">
        <v>0</v>
      </c>
      <c r="X222" s="10">
        <v>15.7974433333333</v>
      </c>
      <c r="Y222" s="10">
        <v>17.021</v>
      </c>
      <c r="Z222" s="14">
        <v>1</v>
      </c>
      <c r="AA222" s="18">
        <v>10</v>
      </c>
      <c r="AB222" s="18">
        <v>10</v>
      </c>
      <c r="AC222" s="18">
        <v>0</v>
      </c>
      <c r="AD222" s="14">
        <v>0</v>
      </c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</row>
    <row r="223" spans="1:50">
      <c r="A223" s="3" t="s">
        <v>44</v>
      </c>
      <c r="B223" s="3" t="s">
        <v>59</v>
      </c>
      <c r="C223" s="4" t="s">
        <v>46</v>
      </c>
      <c r="D223" s="5" t="s">
        <v>57</v>
      </c>
      <c r="E223" s="7">
        <v>1</v>
      </c>
      <c r="F223" s="10"/>
      <c r="G223" s="10">
        <v>0.24</v>
      </c>
      <c r="H223" s="10"/>
      <c r="I223" s="10">
        <v>0.24</v>
      </c>
      <c r="J223" s="14">
        <v>1</v>
      </c>
      <c r="K223" s="10">
        <v>-65.9573614262561</v>
      </c>
      <c r="L223" s="10">
        <v>14.5288983561009</v>
      </c>
      <c r="M223" s="14">
        <v>1</v>
      </c>
      <c r="N223" s="14">
        <v>1</v>
      </c>
      <c r="O223" s="14">
        <v>1</v>
      </c>
      <c r="P223" s="14">
        <v>1</v>
      </c>
      <c r="Q223" s="10">
        <v>69.4973704918033</v>
      </c>
      <c r="R223" s="10">
        <v>115.15</v>
      </c>
      <c r="S223" s="14">
        <v>0.99672131147541</v>
      </c>
      <c r="T223" s="18">
        <v>10</v>
      </c>
      <c r="U223" s="18">
        <v>10</v>
      </c>
      <c r="V223" s="18">
        <v>0</v>
      </c>
      <c r="W223" s="14">
        <v>0</v>
      </c>
      <c r="X223" s="10">
        <v>17.5181866666667</v>
      </c>
      <c r="Y223" s="10">
        <v>19.328</v>
      </c>
      <c r="Z223" s="14">
        <v>1</v>
      </c>
      <c r="AA223" s="18">
        <v>10</v>
      </c>
      <c r="AB223" s="18">
        <v>10</v>
      </c>
      <c r="AC223" s="18">
        <v>0</v>
      </c>
      <c r="AD223" s="14">
        <v>0</v>
      </c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</row>
    <row r="224" spans="1:50">
      <c r="A224" s="3" t="s">
        <v>44</v>
      </c>
      <c r="B224" s="3" t="s">
        <v>56</v>
      </c>
      <c r="C224" s="8" t="s">
        <v>49</v>
      </c>
      <c r="D224" s="8" t="s">
        <v>64</v>
      </c>
      <c r="E224" s="8">
        <v>1</v>
      </c>
      <c r="F224" s="23">
        <v>260.057</v>
      </c>
      <c r="G224" s="10">
        <v>5.47</v>
      </c>
      <c r="H224" s="10">
        <v>47.545155393053</v>
      </c>
      <c r="I224" s="10">
        <v>5.45971314805</v>
      </c>
      <c r="J224" s="14">
        <v>0.998119116498324</v>
      </c>
      <c r="K224" s="10">
        <v>-65.757034604178</v>
      </c>
      <c r="L224" s="10">
        <v>11.9386118689963</v>
      </c>
      <c r="M224" s="24">
        <v>0.94852025310149</v>
      </c>
      <c r="N224" s="25">
        <v>0.949080763290319</v>
      </c>
      <c r="O224" s="25">
        <v>0.962389576250837</v>
      </c>
      <c r="P224" s="25">
        <v>0.962958282255109</v>
      </c>
      <c r="Q224" s="23">
        <v>27.2204847674246</v>
      </c>
      <c r="R224" s="23">
        <v>62.348</v>
      </c>
      <c r="S224" s="25">
        <v>0.73056917818398</v>
      </c>
      <c r="T224" s="26">
        <v>224</v>
      </c>
      <c r="U224" s="26">
        <v>224</v>
      </c>
      <c r="V224" s="26">
        <v>0</v>
      </c>
      <c r="W224" s="25">
        <v>0</v>
      </c>
      <c r="X224" s="23">
        <v>19.1143264563107</v>
      </c>
      <c r="Y224" s="23">
        <v>29.949</v>
      </c>
      <c r="Z224" s="25">
        <v>0.974969660194175</v>
      </c>
      <c r="AA224" s="26">
        <v>223</v>
      </c>
      <c r="AB224" s="26">
        <v>223</v>
      </c>
      <c r="AC224" s="26">
        <v>0</v>
      </c>
      <c r="AD224" s="25">
        <v>0</v>
      </c>
      <c r="AE224" s="23">
        <v>-73.6973572807386</v>
      </c>
      <c r="AF224" s="23">
        <v>13.2999840537138</v>
      </c>
      <c r="AG224" s="25">
        <v>0.940135046113307</v>
      </c>
      <c r="AH224" s="25">
        <v>0.940958498023715</v>
      </c>
      <c r="AI224" s="25">
        <v>0.958203944607637</v>
      </c>
      <c r="AJ224" s="25">
        <v>0.959043222828368</v>
      </c>
      <c r="AK224" s="23">
        <v>28.2178842409892</v>
      </c>
      <c r="AL224" s="23">
        <v>64.296</v>
      </c>
      <c r="AM224" s="25">
        <v>0.743488555643252</v>
      </c>
      <c r="AN224" s="26">
        <v>224</v>
      </c>
      <c r="AO224" s="26">
        <v>224</v>
      </c>
      <c r="AP224" s="26">
        <v>0</v>
      </c>
      <c r="AQ224" s="25">
        <v>0</v>
      </c>
      <c r="AR224" s="23">
        <v>19.0358048395581</v>
      </c>
      <c r="AS224" s="23">
        <v>29.714</v>
      </c>
      <c r="AT224" s="25">
        <v>0.97343503419253</v>
      </c>
      <c r="AU224" s="26">
        <v>223</v>
      </c>
      <c r="AV224" s="26">
        <v>223</v>
      </c>
      <c r="AW224" s="26">
        <v>0</v>
      </c>
      <c r="AX224" s="25">
        <v>0</v>
      </c>
    </row>
    <row r="225" spans="1:50">
      <c r="A225" s="3" t="s">
        <v>44</v>
      </c>
      <c r="B225" s="3" t="s">
        <v>56</v>
      </c>
      <c r="C225" s="4" t="s">
        <v>46</v>
      </c>
      <c r="D225" s="5" t="s">
        <v>57</v>
      </c>
      <c r="E225" s="7">
        <v>3</v>
      </c>
      <c r="F225" s="10"/>
      <c r="G225" s="10">
        <v>0.245</v>
      </c>
      <c r="H225" s="10"/>
      <c r="I225" s="10">
        <v>0.245</v>
      </c>
      <c r="J225" s="14">
        <v>1</v>
      </c>
      <c r="K225" s="10">
        <v>-65.6532682714617</v>
      </c>
      <c r="L225" s="10">
        <v>20.4545208816705</v>
      </c>
      <c r="M225" s="14">
        <v>1</v>
      </c>
      <c r="N225" s="14">
        <v>1</v>
      </c>
      <c r="O225" s="14">
        <v>1</v>
      </c>
      <c r="P225" s="14">
        <v>1</v>
      </c>
      <c r="Q225" s="10">
        <v>72.7008235294118</v>
      </c>
      <c r="R225" s="10">
        <v>82.954</v>
      </c>
      <c r="S225" s="14">
        <v>0.990196078431373</v>
      </c>
      <c r="T225" s="18">
        <v>10</v>
      </c>
      <c r="U225" s="18">
        <v>10</v>
      </c>
      <c r="V225" s="18">
        <v>0</v>
      </c>
      <c r="W225" s="14">
        <v>0</v>
      </c>
      <c r="X225" s="10">
        <v>28.78601</v>
      </c>
      <c r="Y225" s="10">
        <v>30.955</v>
      </c>
      <c r="Z225" s="14">
        <v>1</v>
      </c>
      <c r="AA225" s="18">
        <v>10</v>
      </c>
      <c r="AB225" s="18">
        <v>10</v>
      </c>
      <c r="AC225" s="18">
        <v>0</v>
      </c>
      <c r="AD225" s="14">
        <v>0</v>
      </c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</row>
    <row r="226" spans="1:50">
      <c r="A226" s="3" t="s">
        <v>51</v>
      </c>
      <c r="B226" s="6" t="s">
        <v>52</v>
      </c>
      <c r="C226" s="6" t="s">
        <v>49</v>
      </c>
      <c r="D226" s="6" t="s">
        <v>61</v>
      </c>
      <c r="E226" s="4">
        <v>1</v>
      </c>
      <c r="F226" s="11">
        <v>2.12726338416338</v>
      </c>
      <c r="G226" s="11">
        <v>0.45015</v>
      </c>
      <c r="H226" s="11">
        <v>4.72567673922777</v>
      </c>
      <c r="I226" s="11">
        <v>0.450122222222222</v>
      </c>
      <c r="J226" s="15">
        <v>0.999938292174214</v>
      </c>
      <c r="K226" s="11">
        <v>-65.5871506025438</v>
      </c>
      <c r="L226" s="11">
        <v>20.7368682702351</v>
      </c>
      <c r="M226" s="15">
        <v>0.99777117384844</v>
      </c>
      <c r="N226" s="15">
        <v>0.99777117384844</v>
      </c>
      <c r="O226" s="15">
        <v>0.99777117384844</v>
      </c>
      <c r="P226" s="15">
        <v>0.99777117384844</v>
      </c>
      <c r="Q226" s="11">
        <v>88.1800384233333</v>
      </c>
      <c r="R226" s="11">
        <v>118.248</v>
      </c>
      <c r="S226" s="15">
        <v>1</v>
      </c>
      <c r="T226" s="19">
        <v>10</v>
      </c>
      <c r="U226" s="19">
        <v>10</v>
      </c>
      <c r="V226" s="19">
        <v>0</v>
      </c>
      <c r="W226" s="15">
        <v>0</v>
      </c>
      <c r="X226" s="11">
        <v>89.5192895757576</v>
      </c>
      <c r="Y226" s="11">
        <v>116.393</v>
      </c>
      <c r="Z226" s="15">
        <v>0.993939393939394</v>
      </c>
      <c r="AA226" s="19">
        <v>11</v>
      </c>
      <c r="AB226" s="19">
        <v>11</v>
      </c>
      <c r="AC226" s="19">
        <v>0</v>
      </c>
      <c r="AD226" s="15">
        <v>0</v>
      </c>
      <c r="AE226" s="11">
        <v>-65.0362584172746</v>
      </c>
      <c r="AF226" s="11">
        <v>21.2114864552804</v>
      </c>
      <c r="AG226" s="15">
        <v>1</v>
      </c>
      <c r="AH226" s="15">
        <v>1</v>
      </c>
      <c r="AI226" s="15">
        <v>1</v>
      </c>
      <c r="AJ226" s="15">
        <v>1</v>
      </c>
      <c r="AK226" s="11">
        <v>92.6813188721967</v>
      </c>
      <c r="AL226" s="11">
        <v>120.385878</v>
      </c>
      <c r="AM226" s="15">
        <v>1</v>
      </c>
      <c r="AN226" s="19">
        <v>10</v>
      </c>
      <c r="AO226" s="19">
        <v>10</v>
      </c>
      <c r="AP226" s="19">
        <v>0</v>
      </c>
      <c r="AQ226" s="15">
        <v>0</v>
      </c>
      <c r="AR226" s="11">
        <v>92.8876394695258</v>
      </c>
      <c r="AS226" s="11">
        <v>114.845468133333</v>
      </c>
      <c r="AT226" s="15">
        <v>1</v>
      </c>
      <c r="AU226" s="19">
        <v>11</v>
      </c>
      <c r="AV226" s="19">
        <v>11</v>
      </c>
      <c r="AW226" s="19">
        <v>0</v>
      </c>
      <c r="AX226" s="15">
        <v>0</v>
      </c>
    </row>
    <row r="227" spans="1:50">
      <c r="A227" s="3" t="s">
        <v>44</v>
      </c>
      <c r="B227" s="7" t="s">
        <v>60</v>
      </c>
      <c r="C227" s="4" t="s">
        <v>46</v>
      </c>
      <c r="D227" s="5" t="s">
        <v>57</v>
      </c>
      <c r="E227" s="7">
        <v>3</v>
      </c>
      <c r="F227" s="10"/>
      <c r="G227" s="10">
        <v>0.236</v>
      </c>
      <c r="H227" s="10"/>
      <c r="I227" s="10">
        <v>0.236</v>
      </c>
      <c r="J227" s="14">
        <v>1</v>
      </c>
      <c r="K227" s="10">
        <v>-64.6262207578254</v>
      </c>
      <c r="L227" s="10">
        <v>7.79409484584608</v>
      </c>
      <c r="M227" s="14">
        <v>1</v>
      </c>
      <c r="N227" s="14">
        <v>1</v>
      </c>
      <c r="O227" s="14">
        <v>1</v>
      </c>
      <c r="P227" s="14">
        <v>1</v>
      </c>
      <c r="Q227" s="10">
        <v>40.8924052287582</v>
      </c>
      <c r="R227" s="10">
        <v>46.122</v>
      </c>
      <c r="S227" s="14">
        <v>0.986928104575163</v>
      </c>
      <c r="T227" s="18">
        <v>10</v>
      </c>
      <c r="U227" s="18">
        <v>10</v>
      </c>
      <c r="V227" s="18">
        <v>0</v>
      </c>
      <c r="W227" s="14">
        <v>0</v>
      </c>
      <c r="X227" s="10">
        <v>22.068364548495</v>
      </c>
      <c r="Y227" s="10">
        <v>23.408</v>
      </c>
      <c r="Z227" s="14">
        <v>1</v>
      </c>
      <c r="AA227" s="18">
        <v>10</v>
      </c>
      <c r="AB227" s="18">
        <v>10</v>
      </c>
      <c r="AC227" s="18">
        <v>0</v>
      </c>
      <c r="AD227" s="14">
        <v>0</v>
      </c>
      <c r="AE227" s="10"/>
      <c r="AF227" s="10"/>
      <c r="AG227" s="14"/>
      <c r="AH227" s="14"/>
      <c r="AI227" s="14"/>
      <c r="AJ227" s="14"/>
      <c r="AK227" s="10"/>
      <c r="AL227" s="10"/>
      <c r="AM227" s="14"/>
      <c r="AN227" s="18"/>
      <c r="AO227" s="18"/>
      <c r="AP227" s="18"/>
      <c r="AQ227" s="14"/>
      <c r="AR227" s="10"/>
      <c r="AS227" s="10"/>
      <c r="AT227" s="14"/>
      <c r="AU227" s="18"/>
      <c r="AV227" s="18"/>
      <c r="AW227" s="18"/>
      <c r="AX227" s="14"/>
    </row>
    <row r="228" spans="1:50">
      <c r="A228" s="3" t="s">
        <v>51</v>
      </c>
      <c r="B228" s="4" t="s">
        <v>58</v>
      </c>
      <c r="C228" s="5" t="s">
        <v>46</v>
      </c>
      <c r="D228" s="6" t="s">
        <v>53</v>
      </c>
      <c r="E228" s="4">
        <v>1</v>
      </c>
      <c r="F228" s="11" t="s">
        <v>54</v>
      </c>
      <c r="G228" s="11">
        <v>0.394025</v>
      </c>
      <c r="H228" s="11" t="s">
        <v>54</v>
      </c>
      <c r="I228" s="11">
        <v>0.394002777777778</v>
      </c>
      <c r="J228" s="15">
        <v>0.999943601999309</v>
      </c>
      <c r="K228" s="11">
        <v>-64.5967052539391</v>
      </c>
      <c r="L228" s="11">
        <v>11.7057276341666</v>
      </c>
      <c r="M228" s="15">
        <v>0.999294383290996</v>
      </c>
      <c r="N228" s="15">
        <v>0.999294383290996</v>
      </c>
      <c r="O228" s="15">
        <v>0.999294383290996</v>
      </c>
      <c r="P228" s="15">
        <v>0.999294383290996</v>
      </c>
      <c r="Q228" s="11">
        <v>69.4577801</v>
      </c>
      <c r="R228" s="11">
        <v>105.815</v>
      </c>
      <c r="S228" s="15">
        <v>1</v>
      </c>
      <c r="T228" s="19">
        <v>10</v>
      </c>
      <c r="U228" s="19">
        <v>10</v>
      </c>
      <c r="V228" s="19">
        <v>0</v>
      </c>
      <c r="W228" s="15">
        <v>0</v>
      </c>
      <c r="X228" s="11">
        <v>20.8602714966667</v>
      </c>
      <c r="Y228" s="11">
        <v>46.9461</v>
      </c>
      <c r="Z228" s="15">
        <v>1</v>
      </c>
      <c r="AA228" s="19">
        <v>10</v>
      </c>
      <c r="AB228" s="19">
        <v>10</v>
      </c>
      <c r="AC228" s="19">
        <v>0</v>
      </c>
      <c r="AD228" s="15">
        <v>0</v>
      </c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</row>
    <row r="229" spans="1:50">
      <c r="A229" s="3" t="s">
        <v>51</v>
      </c>
      <c r="B229" s="4" t="s">
        <v>58</v>
      </c>
      <c r="C229" s="5" t="s">
        <v>46</v>
      </c>
      <c r="D229" s="6" t="s">
        <v>53</v>
      </c>
      <c r="E229" s="4">
        <v>3</v>
      </c>
      <c r="F229" s="11" t="s">
        <v>54</v>
      </c>
      <c r="G229" s="11">
        <v>0.393875</v>
      </c>
      <c r="H229" s="11" t="s">
        <v>54</v>
      </c>
      <c r="I229" s="11">
        <v>0.393847222222222</v>
      </c>
      <c r="J229" s="15">
        <v>0.999929475651469</v>
      </c>
      <c r="K229" s="11">
        <v>-64.3040690739409</v>
      </c>
      <c r="L229" s="11">
        <v>15.4153879820009</v>
      </c>
      <c r="M229" s="15">
        <v>0.999291985273294</v>
      </c>
      <c r="N229" s="15">
        <v>0.999291985273294</v>
      </c>
      <c r="O229" s="15">
        <v>0.999291985273294</v>
      </c>
      <c r="P229" s="15">
        <v>0.999291985273294</v>
      </c>
      <c r="Q229" s="11">
        <v>47.53964456</v>
      </c>
      <c r="R229" s="11">
        <v>73.8473</v>
      </c>
      <c r="S229" s="15">
        <v>0.94</v>
      </c>
      <c r="T229" s="19">
        <v>10</v>
      </c>
      <c r="U229" s="19">
        <v>10</v>
      </c>
      <c r="V229" s="19">
        <v>0</v>
      </c>
      <c r="W229" s="15">
        <v>0</v>
      </c>
      <c r="X229" s="11">
        <v>18.2904341933333</v>
      </c>
      <c r="Y229" s="11">
        <v>22.3108</v>
      </c>
      <c r="Z229" s="15">
        <v>0.996666666666667</v>
      </c>
      <c r="AA229" s="19">
        <v>10</v>
      </c>
      <c r="AB229" s="19">
        <v>10</v>
      </c>
      <c r="AC229" s="19">
        <v>0</v>
      </c>
      <c r="AD229" s="15">
        <v>0</v>
      </c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</row>
    <row r="230" spans="1:50">
      <c r="A230" s="3" t="s">
        <v>44</v>
      </c>
      <c r="B230" s="7" t="s">
        <v>60</v>
      </c>
      <c r="C230" s="4" t="s">
        <v>49</v>
      </c>
      <c r="D230" s="5" t="s">
        <v>50</v>
      </c>
      <c r="E230" s="7">
        <v>1</v>
      </c>
      <c r="F230" s="10">
        <v>2.611</v>
      </c>
      <c r="G230" s="10">
        <v>0.639</v>
      </c>
      <c r="H230" s="10">
        <v>4.08607198748044</v>
      </c>
      <c r="I230" s="10">
        <v>0.63521906895</v>
      </c>
      <c r="J230" s="14">
        <v>0.99408305</v>
      </c>
      <c r="K230" s="10">
        <v>-64.2592820005397</v>
      </c>
      <c r="L230" s="10">
        <v>9.94340667446254</v>
      </c>
      <c r="M230" s="14">
        <v>0.967903442109969</v>
      </c>
      <c r="N230" s="14">
        <v>0.967903442109969</v>
      </c>
      <c r="O230" s="14">
        <v>0.973823873347126</v>
      </c>
      <c r="P230" s="14">
        <v>0.973823873347126</v>
      </c>
      <c r="Q230" s="10">
        <v>46.0626174661747</v>
      </c>
      <c r="R230" s="10">
        <v>66.549</v>
      </c>
      <c r="S230" s="14">
        <v>0.971709717097171</v>
      </c>
      <c r="T230" s="18">
        <v>27</v>
      </c>
      <c r="U230" s="18">
        <v>27</v>
      </c>
      <c r="V230" s="18">
        <v>0</v>
      </c>
      <c r="W230" s="14">
        <v>0</v>
      </c>
      <c r="X230" s="10">
        <v>23.9617478368356</v>
      </c>
      <c r="Y230" s="10">
        <v>40.168</v>
      </c>
      <c r="Z230" s="14">
        <v>0.996291718170581</v>
      </c>
      <c r="AA230" s="18">
        <v>27</v>
      </c>
      <c r="AB230" s="18">
        <v>27</v>
      </c>
      <c r="AC230" s="18">
        <v>0</v>
      </c>
      <c r="AD230" s="14">
        <v>0</v>
      </c>
      <c r="AE230" s="10">
        <v>-64.3990946745562</v>
      </c>
      <c r="AF230" s="10">
        <v>9.85731360946746</v>
      </c>
      <c r="AG230" s="14">
        <v>0.965116279069768</v>
      </c>
      <c r="AH230" s="14">
        <v>0.965116279069768</v>
      </c>
      <c r="AI230" s="14">
        <v>0.982248520710059</v>
      </c>
      <c r="AJ230" s="14">
        <v>0.982248520710059</v>
      </c>
      <c r="AK230" s="10">
        <v>45.6953194444444</v>
      </c>
      <c r="AL230" s="10">
        <v>61.642</v>
      </c>
      <c r="AM230" s="14">
        <v>1</v>
      </c>
      <c r="AN230" s="18">
        <v>27</v>
      </c>
      <c r="AO230" s="18">
        <v>27</v>
      </c>
      <c r="AP230" s="18">
        <v>0</v>
      </c>
      <c r="AQ230" s="14">
        <v>0</v>
      </c>
      <c r="AR230" s="10">
        <v>24.6250757575758</v>
      </c>
      <c r="AS230" s="10">
        <v>37.527</v>
      </c>
      <c r="AT230" s="14">
        <v>1</v>
      </c>
      <c r="AU230" s="18">
        <v>27</v>
      </c>
      <c r="AV230" s="18">
        <v>27</v>
      </c>
      <c r="AW230" s="18">
        <v>0</v>
      </c>
      <c r="AX230" s="14">
        <v>0</v>
      </c>
    </row>
    <row r="231" spans="1:50">
      <c r="A231" s="3" t="s">
        <v>44</v>
      </c>
      <c r="B231" s="3" t="s">
        <v>59</v>
      </c>
      <c r="C231" s="4" t="s">
        <v>46</v>
      </c>
      <c r="D231" s="5" t="s">
        <v>53</v>
      </c>
      <c r="E231" s="7">
        <v>3</v>
      </c>
      <c r="F231" s="10"/>
      <c r="G231" s="10">
        <v>0.241</v>
      </c>
      <c r="H231" s="10"/>
      <c r="I231" s="10">
        <v>0.241</v>
      </c>
      <c r="J231" s="14">
        <v>1</v>
      </c>
      <c r="K231" s="10">
        <v>-63.8125001153403</v>
      </c>
      <c r="L231" s="10">
        <v>12.4125460207612</v>
      </c>
      <c r="M231" s="14">
        <v>1</v>
      </c>
      <c r="N231" s="14">
        <v>1</v>
      </c>
      <c r="O231" s="14">
        <v>1</v>
      </c>
      <c r="P231" s="14">
        <v>1</v>
      </c>
      <c r="Q231" s="10">
        <v>42.6931315789474</v>
      </c>
      <c r="R231" s="10">
        <v>49.215</v>
      </c>
      <c r="S231" s="14">
        <v>0.986842105263158</v>
      </c>
      <c r="T231" s="18">
        <v>10</v>
      </c>
      <c r="U231" s="18">
        <v>10</v>
      </c>
      <c r="V231" s="18">
        <v>0</v>
      </c>
      <c r="W231" s="14">
        <v>0</v>
      </c>
      <c r="X231" s="10">
        <v>15.7058166666667</v>
      </c>
      <c r="Y231" s="10">
        <v>16.893</v>
      </c>
      <c r="Z231" s="14">
        <v>1</v>
      </c>
      <c r="AA231" s="18">
        <v>10</v>
      </c>
      <c r="AB231" s="18">
        <v>10</v>
      </c>
      <c r="AC231" s="18">
        <v>0</v>
      </c>
      <c r="AD231" s="14">
        <v>0</v>
      </c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</row>
    <row r="232" spans="1:50">
      <c r="A232" s="3" t="s">
        <v>51</v>
      </c>
      <c r="B232" s="4" t="s">
        <v>58</v>
      </c>
      <c r="C232" s="6" t="s">
        <v>49</v>
      </c>
      <c r="D232" s="6" t="s">
        <v>50</v>
      </c>
      <c r="E232" s="4">
        <v>1</v>
      </c>
      <c r="F232" s="11">
        <v>5.07167007052898</v>
      </c>
      <c r="G232" s="11">
        <v>0.585013888888889</v>
      </c>
      <c r="H232" s="11">
        <v>8.66931566387519</v>
      </c>
      <c r="I232" s="11">
        <v>0.584211111111111</v>
      </c>
      <c r="J232" s="15">
        <v>0.998627762873626</v>
      </c>
      <c r="K232" s="11">
        <v>-63.625829166917</v>
      </c>
      <c r="L232" s="11">
        <v>16.9137215609249</v>
      </c>
      <c r="M232" s="15">
        <v>0.99552636588616</v>
      </c>
      <c r="N232" s="15">
        <v>0.99552636588616</v>
      </c>
      <c r="O232" s="15">
        <v>0.996854746473504</v>
      </c>
      <c r="P232" s="15">
        <v>0.996854746473504</v>
      </c>
      <c r="Q232" s="11">
        <v>91.1475555444444</v>
      </c>
      <c r="R232" s="11">
        <v>109.36</v>
      </c>
      <c r="S232" s="15">
        <v>1</v>
      </c>
      <c r="T232" s="19">
        <v>15</v>
      </c>
      <c r="U232" s="19">
        <v>15</v>
      </c>
      <c r="V232" s="19">
        <v>0</v>
      </c>
      <c r="W232" s="15">
        <v>0</v>
      </c>
      <c r="X232" s="11">
        <v>61.6810030168067</v>
      </c>
      <c r="Y232" s="11">
        <v>82.8685</v>
      </c>
      <c r="Z232" s="15">
        <v>1</v>
      </c>
      <c r="AA232" s="19">
        <v>16</v>
      </c>
      <c r="AB232" s="19">
        <v>16</v>
      </c>
      <c r="AC232" s="19">
        <v>0</v>
      </c>
      <c r="AD232" s="15">
        <v>0</v>
      </c>
      <c r="AE232" s="11">
        <v>-63.7089482062276</v>
      </c>
      <c r="AF232" s="11">
        <v>17.1862082337547</v>
      </c>
      <c r="AG232" s="15">
        <v>0.995594713656388</v>
      </c>
      <c r="AH232" s="15">
        <v>0.995594713656388</v>
      </c>
      <c r="AI232" s="15">
        <v>1</v>
      </c>
      <c r="AJ232" s="15">
        <v>1</v>
      </c>
      <c r="AK232" s="11">
        <v>89.9694499796823</v>
      </c>
      <c r="AL232" s="11">
        <v>106.773536266667</v>
      </c>
      <c r="AM232" s="15">
        <v>1</v>
      </c>
      <c r="AN232" s="19">
        <v>15</v>
      </c>
      <c r="AO232" s="19">
        <v>15</v>
      </c>
      <c r="AP232" s="19">
        <v>0</v>
      </c>
      <c r="AQ232" s="15">
        <v>0</v>
      </c>
      <c r="AR232" s="11">
        <v>59.5386928831554</v>
      </c>
      <c r="AS232" s="11">
        <v>81.764234</v>
      </c>
      <c r="AT232" s="15">
        <v>1</v>
      </c>
      <c r="AU232" s="19">
        <v>16</v>
      </c>
      <c r="AV232" s="19">
        <v>16</v>
      </c>
      <c r="AW232" s="19">
        <v>0</v>
      </c>
      <c r="AX232" s="15">
        <v>0</v>
      </c>
    </row>
    <row r="233" spans="1:50">
      <c r="A233" s="3" t="s">
        <v>44</v>
      </c>
      <c r="B233" s="3" t="s">
        <v>56</v>
      </c>
      <c r="C233" s="4" t="s">
        <v>49</v>
      </c>
      <c r="D233" s="5" t="s">
        <v>50</v>
      </c>
      <c r="E233" s="7">
        <v>1</v>
      </c>
      <c r="F233" s="10">
        <v>5.621</v>
      </c>
      <c r="G233" s="10">
        <v>0.584</v>
      </c>
      <c r="H233" s="10">
        <v>9.625</v>
      </c>
      <c r="I233" s="10">
        <v>0.5833967864</v>
      </c>
      <c r="J233" s="14">
        <v>0.9989671</v>
      </c>
      <c r="K233" s="10">
        <v>-63.2307988080361</v>
      </c>
      <c r="L233" s="10">
        <v>14.5997939056042</v>
      </c>
      <c r="M233" s="14">
        <v>0.975225657768389</v>
      </c>
      <c r="N233" s="14">
        <v>0.975225657768389</v>
      </c>
      <c r="O233" s="14">
        <v>0.97625684898587</v>
      </c>
      <c r="P233" s="14">
        <v>0.97625684898587</v>
      </c>
      <c r="Q233" s="10">
        <v>69.2081714285714</v>
      </c>
      <c r="R233" s="10">
        <v>99.205</v>
      </c>
      <c r="S233" s="14">
        <v>0.985714285714286</v>
      </c>
      <c r="T233" s="18">
        <v>23</v>
      </c>
      <c r="U233" s="18">
        <v>23</v>
      </c>
      <c r="V233" s="18">
        <v>0</v>
      </c>
      <c r="W233" s="14">
        <v>0</v>
      </c>
      <c r="X233" s="10">
        <v>45.0764</v>
      </c>
      <c r="Y233" s="10">
        <v>71.075</v>
      </c>
      <c r="Z233" s="14">
        <v>1</v>
      </c>
      <c r="AA233" s="18">
        <v>24</v>
      </c>
      <c r="AB233" s="18">
        <v>24</v>
      </c>
      <c r="AC233" s="18">
        <v>0</v>
      </c>
      <c r="AD233" s="14">
        <v>0</v>
      </c>
      <c r="AE233" s="10">
        <v>-66.5526880733945</v>
      </c>
      <c r="AF233" s="10">
        <v>13.1035688073394</v>
      </c>
      <c r="AG233" s="14">
        <v>0.981707317073171</v>
      </c>
      <c r="AH233" s="14">
        <v>0.981707317073171</v>
      </c>
      <c r="AI233" s="14">
        <v>0.984709480122324</v>
      </c>
      <c r="AJ233" s="14">
        <v>0.984709480122324</v>
      </c>
      <c r="AK233" s="10">
        <v>63.900990990991</v>
      </c>
      <c r="AL233" s="10">
        <v>88.099</v>
      </c>
      <c r="AM233" s="14">
        <v>0.990990990990991</v>
      </c>
      <c r="AN233" s="18">
        <v>23</v>
      </c>
      <c r="AO233" s="18">
        <v>23</v>
      </c>
      <c r="AP233" s="18">
        <v>0</v>
      </c>
      <c r="AQ233" s="14">
        <v>0</v>
      </c>
      <c r="AR233" s="10">
        <v>43.9363070175439</v>
      </c>
      <c r="AS233" s="10">
        <v>67.255</v>
      </c>
      <c r="AT233" s="14">
        <v>1</v>
      </c>
      <c r="AU233" s="18">
        <v>24</v>
      </c>
      <c r="AV233" s="18">
        <v>24</v>
      </c>
      <c r="AW233" s="18">
        <v>0</v>
      </c>
      <c r="AX233" s="14">
        <v>0</v>
      </c>
    </row>
    <row r="234" spans="1:50">
      <c r="A234" s="3" t="s">
        <v>51</v>
      </c>
      <c r="B234" s="4" t="s">
        <v>58</v>
      </c>
      <c r="C234" s="5" t="s">
        <v>46</v>
      </c>
      <c r="D234" s="6" t="s">
        <v>53</v>
      </c>
      <c r="E234" s="4">
        <v>1</v>
      </c>
      <c r="F234" s="11" t="s">
        <v>54</v>
      </c>
      <c r="G234" s="11">
        <v>0.402391666666667</v>
      </c>
      <c r="H234" s="11" t="s">
        <v>54</v>
      </c>
      <c r="I234" s="11">
        <v>0.402361111111111</v>
      </c>
      <c r="J234" s="15">
        <v>0.999924065138305</v>
      </c>
      <c r="K234" s="11">
        <v>-62.3145052382959</v>
      </c>
      <c r="L234" s="11">
        <v>18.6460096105182</v>
      </c>
      <c r="M234" s="15">
        <v>0.99792817679558</v>
      </c>
      <c r="N234" s="15">
        <v>0.99792817679558</v>
      </c>
      <c r="O234" s="15">
        <v>0.99792817679558</v>
      </c>
      <c r="P234" s="15">
        <v>0.99792817679558</v>
      </c>
      <c r="Q234" s="11">
        <v>135.94949792</v>
      </c>
      <c r="R234" s="11">
        <v>149.909</v>
      </c>
      <c r="S234" s="15">
        <v>1</v>
      </c>
      <c r="T234" s="19">
        <v>10</v>
      </c>
      <c r="U234" s="19">
        <v>10</v>
      </c>
      <c r="V234" s="19">
        <v>0</v>
      </c>
      <c r="W234" s="15">
        <v>0</v>
      </c>
      <c r="X234" s="11">
        <v>65.9745709033333</v>
      </c>
      <c r="Y234" s="11">
        <v>74.7094</v>
      </c>
      <c r="Z234" s="15">
        <v>1</v>
      </c>
      <c r="AA234" s="19">
        <v>10</v>
      </c>
      <c r="AB234" s="19">
        <v>10</v>
      </c>
      <c r="AC234" s="19">
        <v>0</v>
      </c>
      <c r="AD234" s="15">
        <v>0</v>
      </c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</row>
    <row r="235" spans="1:50">
      <c r="A235" s="3" t="s">
        <v>51</v>
      </c>
      <c r="B235" s="5" t="s">
        <v>63</v>
      </c>
      <c r="C235" s="5" t="s">
        <v>46</v>
      </c>
      <c r="D235" s="5" t="s">
        <v>57</v>
      </c>
      <c r="E235" s="5">
        <v>1</v>
      </c>
      <c r="F235" s="11" t="s">
        <v>54</v>
      </c>
      <c r="G235" s="11">
        <v>0.372363888888889</v>
      </c>
      <c r="H235" s="11" t="s">
        <v>54</v>
      </c>
      <c r="I235" s="11">
        <v>0.372336111111111</v>
      </c>
      <c r="J235" s="15">
        <v>0.999925401526285</v>
      </c>
      <c r="K235" s="11">
        <v>-62.2482869774393</v>
      </c>
      <c r="L235" s="11">
        <v>9.03235532334702</v>
      </c>
      <c r="M235" s="15">
        <v>0.99940218203557</v>
      </c>
      <c r="N235" s="15">
        <v>0.99940218203557</v>
      </c>
      <c r="O235" s="15">
        <v>0.99940218203557</v>
      </c>
      <c r="P235" s="15">
        <v>0.99940218203557</v>
      </c>
      <c r="Q235" s="11">
        <v>130.42337992</v>
      </c>
      <c r="R235" s="11">
        <v>142.957</v>
      </c>
      <c r="S235" s="15">
        <v>1</v>
      </c>
      <c r="T235" s="19">
        <v>10</v>
      </c>
      <c r="U235" s="19">
        <v>10</v>
      </c>
      <c r="V235" s="19">
        <v>0</v>
      </c>
      <c r="W235" s="15">
        <v>0</v>
      </c>
      <c r="X235" s="11">
        <v>61.2224355866667</v>
      </c>
      <c r="Y235" s="11">
        <v>80.2379</v>
      </c>
      <c r="Z235" s="15">
        <v>1</v>
      </c>
      <c r="AA235" s="19">
        <v>10</v>
      </c>
      <c r="AB235" s="19">
        <v>10</v>
      </c>
      <c r="AC235" s="19">
        <v>0</v>
      </c>
      <c r="AD235" s="15">
        <v>0</v>
      </c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</row>
    <row r="236" spans="1:50">
      <c r="A236" s="3" t="s">
        <v>44</v>
      </c>
      <c r="B236" s="3" t="s">
        <v>56</v>
      </c>
      <c r="C236" s="4" t="s">
        <v>49</v>
      </c>
      <c r="D236" s="5" t="s">
        <v>61</v>
      </c>
      <c r="E236" s="7">
        <v>1</v>
      </c>
      <c r="F236" s="10">
        <v>2.863</v>
      </c>
      <c r="G236" s="10">
        <v>0.654</v>
      </c>
      <c r="H236" s="10">
        <v>4.37767584097859</v>
      </c>
      <c r="I236" s="10">
        <v>0.654</v>
      </c>
      <c r="J236" s="14">
        <v>1</v>
      </c>
      <c r="K236" s="10">
        <v>-62.2250670980926</v>
      </c>
      <c r="L236" s="10">
        <v>20.0899248978202</v>
      </c>
      <c r="M236" s="14">
        <v>0.999574250681199</v>
      </c>
      <c r="N236" s="14">
        <v>0.999574250681199</v>
      </c>
      <c r="O236" s="14">
        <v>0.999574250681199</v>
      </c>
      <c r="P236" s="14">
        <v>0.999574250681199</v>
      </c>
      <c r="Q236" s="10">
        <v>58.8857183098592</v>
      </c>
      <c r="R236" s="10">
        <v>74.325</v>
      </c>
      <c r="S236" s="14">
        <v>0.995305164319249</v>
      </c>
      <c r="T236" s="18">
        <v>28</v>
      </c>
      <c r="U236" s="18">
        <v>28</v>
      </c>
      <c r="V236" s="18">
        <v>0</v>
      </c>
      <c r="W236" s="14">
        <v>0</v>
      </c>
      <c r="X236" s="10">
        <v>33.783400990099</v>
      </c>
      <c r="Y236" s="10">
        <v>49.69</v>
      </c>
      <c r="Z236" s="14">
        <v>1</v>
      </c>
      <c r="AA236" s="18">
        <v>27</v>
      </c>
      <c r="AB236" s="18">
        <v>27</v>
      </c>
      <c r="AC236" s="18">
        <v>0</v>
      </c>
      <c r="AD236" s="14">
        <v>0</v>
      </c>
      <c r="AE236" s="10">
        <v>-61.5926944444444</v>
      </c>
      <c r="AF236" s="10">
        <v>20.6770777777778</v>
      </c>
      <c r="AG236" s="14">
        <v>1</v>
      </c>
      <c r="AH236" s="14">
        <v>1</v>
      </c>
      <c r="AI236" s="14">
        <v>1</v>
      </c>
      <c r="AJ236" s="14">
        <v>1</v>
      </c>
      <c r="AK236" s="10">
        <v>58.523515625</v>
      </c>
      <c r="AL236" s="10">
        <v>71.873</v>
      </c>
      <c r="AM236" s="14">
        <v>1</v>
      </c>
      <c r="AN236" s="18">
        <v>28</v>
      </c>
      <c r="AO236" s="18">
        <v>28</v>
      </c>
      <c r="AP236" s="18">
        <v>0</v>
      </c>
      <c r="AQ236" s="14">
        <v>0</v>
      </c>
      <c r="AR236" s="10">
        <v>34.1723205128205</v>
      </c>
      <c r="AS236" s="10">
        <v>47.298</v>
      </c>
      <c r="AT236" s="14">
        <v>1</v>
      </c>
      <c r="AU236" s="18">
        <v>27</v>
      </c>
      <c r="AV236" s="18">
        <v>27</v>
      </c>
      <c r="AW236" s="18">
        <v>0</v>
      </c>
      <c r="AX236" s="14">
        <v>0</v>
      </c>
    </row>
    <row r="237" spans="1:50">
      <c r="A237" s="3" t="s">
        <v>51</v>
      </c>
      <c r="B237" s="4" t="s">
        <v>58</v>
      </c>
      <c r="C237" s="6" t="s">
        <v>49</v>
      </c>
      <c r="D237" s="6" t="s">
        <v>50</v>
      </c>
      <c r="E237" s="4">
        <v>1</v>
      </c>
      <c r="F237" s="11">
        <v>5.39874204570055</v>
      </c>
      <c r="G237" s="11">
        <v>0.644341666666667</v>
      </c>
      <c r="H237" s="11">
        <v>8.37869460410582</v>
      </c>
      <c r="I237" s="11">
        <v>0.644316666666667</v>
      </c>
      <c r="J237" s="15">
        <v>0.999961200708734</v>
      </c>
      <c r="K237" s="11">
        <v>-61.7245814977052</v>
      </c>
      <c r="L237" s="11">
        <v>7.07455430920921</v>
      </c>
      <c r="M237" s="15">
        <v>0.971933471933472</v>
      </c>
      <c r="N237" s="15">
        <v>0.971933471933472</v>
      </c>
      <c r="O237" s="15">
        <v>0.971933471933472</v>
      </c>
      <c r="P237" s="15">
        <v>0.971933471933472</v>
      </c>
      <c r="Q237" s="11">
        <v>79.6402843803922</v>
      </c>
      <c r="R237" s="11">
        <v>103.415</v>
      </c>
      <c r="S237" s="15">
        <v>1</v>
      </c>
      <c r="T237" s="19">
        <v>18</v>
      </c>
      <c r="U237" s="19">
        <v>17</v>
      </c>
      <c r="V237" s="19">
        <v>0</v>
      </c>
      <c r="W237" s="15">
        <v>0</v>
      </c>
      <c r="X237" s="11">
        <v>66.5359487703704</v>
      </c>
      <c r="Y237" s="11">
        <v>85.1406</v>
      </c>
      <c r="Z237" s="15">
        <v>1</v>
      </c>
      <c r="AA237" s="19">
        <v>18</v>
      </c>
      <c r="AB237" s="19">
        <v>18</v>
      </c>
      <c r="AC237" s="19">
        <v>0</v>
      </c>
      <c r="AD237" s="15">
        <v>0</v>
      </c>
      <c r="AE237" s="11">
        <v>-61.9966075610326</v>
      </c>
      <c r="AF237" s="11">
        <v>7.02076937285683</v>
      </c>
      <c r="AG237" s="15">
        <v>1</v>
      </c>
      <c r="AH237" s="15">
        <v>1</v>
      </c>
      <c r="AI237" s="15">
        <v>1</v>
      </c>
      <c r="AJ237" s="15">
        <v>1</v>
      </c>
      <c r="AK237" s="11">
        <v>79.4025028442215</v>
      </c>
      <c r="AL237" s="11">
        <v>99.662735</v>
      </c>
      <c r="AM237" s="15">
        <v>1</v>
      </c>
      <c r="AN237" s="19">
        <v>18</v>
      </c>
      <c r="AO237" s="19">
        <v>17</v>
      </c>
      <c r="AP237" s="19">
        <v>0</v>
      </c>
      <c r="AQ237" s="15">
        <v>0</v>
      </c>
      <c r="AR237" s="11">
        <v>68.1918005672315</v>
      </c>
      <c r="AS237" s="11">
        <v>95.584415</v>
      </c>
      <c r="AT237" s="15">
        <v>1</v>
      </c>
      <c r="AU237" s="19">
        <v>18</v>
      </c>
      <c r="AV237" s="19">
        <v>18</v>
      </c>
      <c r="AW237" s="19">
        <v>0</v>
      </c>
      <c r="AX237" s="15">
        <v>0</v>
      </c>
    </row>
    <row r="238" spans="1:50">
      <c r="A238" s="3" t="s">
        <v>44</v>
      </c>
      <c r="B238" s="3" t="s">
        <v>48</v>
      </c>
      <c r="C238" s="4" t="s">
        <v>49</v>
      </c>
      <c r="D238" s="5" t="s">
        <v>50</v>
      </c>
      <c r="E238" s="7">
        <v>1</v>
      </c>
      <c r="F238" s="10">
        <v>3.658</v>
      </c>
      <c r="G238" s="10">
        <v>1.002</v>
      </c>
      <c r="H238" s="10">
        <v>3.65069860279441</v>
      </c>
      <c r="I238" s="10">
        <v>1.002</v>
      </c>
      <c r="J238" s="14">
        <v>1</v>
      </c>
      <c r="K238" s="10">
        <v>-61.5249236323244</v>
      </c>
      <c r="L238" s="10">
        <v>14.3653906692585</v>
      </c>
      <c r="M238" s="14">
        <v>0.99394612607609</v>
      </c>
      <c r="N238" s="14">
        <v>0.99394612607609</v>
      </c>
      <c r="O238" s="14">
        <v>0.99394612607609</v>
      </c>
      <c r="P238" s="14">
        <v>0.99394612607609</v>
      </c>
      <c r="Q238" s="10">
        <v>78.4420601769911</v>
      </c>
      <c r="R238" s="10">
        <v>101.275</v>
      </c>
      <c r="S238" s="14">
        <v>0.990265486725664</v>
      </c>
      <c r="T238" s="18">
        <v>37</v>
      </c>
      <c r="U238" s="18">
        <v>37</v>
      </c>
      <c r="V238" s="18">
        <v>0</v>
      </c>
      <c r="W238" s="14">
        <v>0</v>
      </c>
      <c r="X238" s="10">
        <v>48.3751362372567</v>
      </c>
      <c r="Y238" s="10">
        <v>68.057</v>
      </c>
      <c r="Z238" s="14">
        <v>1</v>
      </c>
      <c r="AA238" s="18">
        <v>36</v>
      </c>
      <c r="AB238" s="18">
        <v>36</v>
      </c>
      <c r="AC238" s="18">
        <v>0</v>
      </c>
      <c r="AD238" s="14">
        <v>0</v>
      </c>
      <c r="AE238" s="10">
        <v>-62.3526622807018</v>
      </c>
      <c r="AF238" s="10">
        <v>13.8697368421053</v>
      </c>
      <c r="AG238" s="14">
        <v>1</v>
      </c>
      <c r="AH238" s="14">
        <v>1</v>
      </c>
      <c r="AI238" s="14">
        <v>1</v>
      </c>
      <c r="AJ238" s="14">
        <v>1</v>
      </c>
      <c r="AK238" s="10">
        <v>77.1515882352941</v>
      </c>
      <c r="AL238" s="10">
        <v>93.376</v>
      </c>
      <c r="AM238" s="14">
        <v>1</v>
      </c>
      <c r="AN238" s="18">
        <v>37</v>
      </c>
      <c r="AO238" s="18">
        <v>37</v>
      </c>
      <c r="AP238" s="18">
        <v>0</v>
      </c>
      <c r="AQ238" s="14">
        <v>0</v>
      </c>
      <c r="AR238" s="10">
        <v>47.7615465116279</v>
      </c>
      <c r="AS238" s="10">
        <v>66.289</v>
      </c>
      <c r="AT238" s="14">
        <v>1</v>
      </c>
      <c r="AU238" s="18">
        <v>36</v>
      </c>
      <c r="AV238" s="18">
        <v>36</v>
      </c>
      <c r="AW238" s="18">
        <v>0</v>
      </c>
      <c r="AX238" s="14">
        <v>0</v>
      </c>
    </row>
    <row r="239" spans="1:50">
      <c r="A239" s="3" t="s">
        <v>44</v>
      </c>
      <c r="B239" s="3" t="s">
        <v>45</v>
      </c>
      <c r="C239" s="4" t="s">
        <v>46</v>
      </c>
      <c r="D239" s="5" t="s">
        <v>53</v>
      </c>
      <c r="E239" s="7">
        <v>2</v>
      </c>
      <c r="F239" s="10"/>
      <c r="G239" s="10">
        <v>0.238</v>
      </c>
      <c r="H239" s="10"/>
      <c r="I239" s="10">
        <v>0.238</v>
      </c>
      <c r="J239" s="14">
        <v>1</v>
      </c>
      <c r="K239" s="10">
        <v>-61.1489332330827</v>
      </c>
      <c r="L239" s="10">
        <v>24.4417503759399</v>
      </c>
      <c r="M239" s="14">
        <v>1</v>
      </c>
      <c r="N239" s="14">
        <v>1</v>
      </c>
      <c r="O239" s="14">
        <v>1</v>
      </c>
      <c r="P239" s="14">
        <v>1</v>
      </c>
      <c r="Q239" s="10">
        <v>20.199197368421</v>
      </c>
      <c r="R239" s="10">
        <v>25.003</v>
      </c>
      <c r="S239" s="14">
        <v>0.967105263157895</v>
      </c>
      <c r="T239" s="18">
        <v>10</v>
      </c>
      <c r="U239" s="18">
        <v>10</v>
      </c>
      <c r="V239" s="18">
        <v>0</v>
      </c>
      <c r="W239" s="14">
        <v>0</v>
      </c>
      <c r="X239" s="10">
        <v>11.3357733333333</v>
      </c>
      <c r="Y239" s="10">
        <v>12.711</v>
      </c>
      <c r="Z239" s="14">
        <v>1</v>
      </c>
      <c r="AA239" s="18">
        <v>10</v>
      </c>
      <c r="AB239" s="18">
        <v>10</v>
      </c>
      <c r="AC239" s="18">
        <v>0</v>
      </c>
      <c r="AD239" s="14">
        <v>0</v>
      </c>
      <c r="AE239" s="10"/>
      <c r="AF239" s="10"/>
      <c r="AG239" s="14"/>
      <c r="AH239" s="14"/>
      <c r="AI239" s="14"/>
      <c r="AJ239" s="14"/>
      <c r="AK239" s="10"/>
      <c r="AL239" s="10"/>
      <c r="AM239" s="14"/>
      <c r="AN239" s="18"/>
      <c r="AO239" s="18"/>
      <c r="AP239" s="18"/>
      <c r="AQ239" s="14"/>
      <c r="AR239" s="10"/>
      <c r="AS239" s="10"/>
      <c r="AT239" s="14"/>
      <c r="AU239" s="18"/>
      <c r="AV239" s="18"/>
      <c r="AW239" s="18"/>
      <c r="AX239" s="14"/>
    </row>
    <row r="240" spans="1:50">
      <c r="A240" s="3" t="s">
        <v>51</v>
      </c>
      <c r="B240" s="6" t="s">
        <v>55</v>
      </c>
      <c r="C240" s="6" t="s">
        <v>46</v>
      </c>
      <c r="D240" s="6" t="s">
        <v>47</v>
      </c>
      <c r="E240" s="6">
        <v>1</v>
      </c>
      <c r="F240" s="12" t="s">
        <v>54</v>
      </c>
      <c r="G240" s="12">
        <v>0.395358333333333</v>
      </c>
      <c r="H240" s="12" t="s">
        <v>54</v>
      </c>
      <c r="I240" s="12">
        <v>0.395327777777778</v>
      </c>
      <c r="J240" s="16">
        <v>0.999922714274673</v>
      </c>
      <c r="K240" s="12">
        <v>-60.7033037133394</v>
      </c>
      <c r="L240" s="12">
        <v>10.6909149194719</v>
      </c>
      <c r="M240" s="16">
        <v>1</v>
      </c>
      <c r="N240" s="16">
        <v>1</v>
      </c>
      <c r="O240" s="16">
        <v>1</v>
      </c>
      <c r="P240" s="16">
        <v>1</v>
      </c>
      <c r="Q240" s="12">
        <v>48.53086611</v>
      </c>
      <c r="R240" s="12">
        <v>67.068</v>
      </c>
      <c r="S240" s="16">
        <v>0.993333333333333</v>
      </c>
      <c r="T240" s="20">
        <v>10</v>
      </c>
      <c r="U240" s="20">
        <v>10</v>
      </c>
      <c r="V240" s="20">
        <v>0</v>
      </c>
      <c r="W240" s="16">
        <v>0</v>
      </c>
      <c r="X240" s="12">
        <v>68.0675448266667</v>
      </c>
      <c r="Y240" s="12">
        <v>77.3835</v>
      </c>
      <c r="Z240" s="16">
        <v>1</v>
      </c>
      <c r="AA240" s="20">
        <v>10</v>
      </c>
      <c r="AB240" s="20">
        <v>10</v>
      </c>
      <c r="AC240" s="20">
        <v>0</v>
      </c>
      <c r="AD240" s="16">
        <v>0</v>
      </c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</row>
    <row r="241" spans="1:50">
      <c r="A241" s="3" t="s">
        <v>44</v>
      </c>
      <c r="B241" s="3" t="s">
        <v>48</v>
      </c>
      <c r="C241" s="4" t="s">
        <v>49</v>
      </c>
      <c r="D241" s="5" t="s">
        <v>50</v>
      </c>
      <c r="E241" s="7">
        <v>1</v>
      </c>
      <c r="F241" s="10">
        <v>5.923</v>
      </c>
      <c r="G241" s="10">
        <v>0.757</v>
      </c>
      <c r="H241" s="10">
        <v>7.82430647291942</v>
      </c>
      <c r="I241" s="10">
        <v>0.757</v>
      </c>
      <c r="J241" s="14">
        <v>1</v>
      </c>
      <c r="K241" s="10">
        <v>-60.5756897699534</v>
      </c>
      <c r="L241" s="10">
        <v>17.0218107108514</v>
      </c>
      <c r="M241" s="14">
        <v>0.999408240254457</v>
      </c>
      <c r="N241" s="14">
        <v>0.999408240254457</v>
      </c>
      <c r="O241" s="14">
        <v>0.999408240254457</v>
      </c>
      <c r="P241" s="14">
        <v>0.999408240254457</v>
      </c>
      <c r="Q241" s="10">
        <v>114.697864</v>
      </c>
      <c r="R241" s="10">
        <v>144.801</v>
      </c>
      <c r="S241" s="14">
        <v>0.988</v>
      </c>
      <c r="T241" s="18">
        <v>33</v>
      </c>
      <c r="U241" s="18">
        <v>33</v>
      </c>
      <c r="V241" s="18">
        <v>0</v>
      </c>
      <c r="W241" s="14">
        <v>0</v>
      </c>
      <c r="X241" s="10">
        <v>21.4002354166667</v>
      </c>
      <c r="Y241" s="10">
        <v>26.519</v>
      </c>
      <c r="Z241" s="14">
        <v>1</v>
      </c>
      <c r="AA241" s="18">
        <v>32</v>
      </c>
      <c r="AB241" s="18">
        <v>32</v>
      </c>
      <c r="AC241" s="18">
        <v>0</v>
      </c>
      <c r="AD241" s="14">
        <v>0</v>
      </c>
      <c r="AE241" s="10">
        <v>-61.1640788732394</v>
      </c>
      <c r="AF241" s="10">
        <v>14.6732957746479</v>
      </c>
      <c r="AG241" s="14">
        <v>1</v>
      </c>
      <c r="AH241" s="14">
        <v>1</v>
      </c>
      <c r="AI241" s="14">
        <v>1</v>
      </c>
      <c r="AJ241" s="14">
        <v>1</v>
      </c>
      <c r="AK241" s="10">
        <v>112.961691056911</v>
      </c>
      <c r="AL241" s="10">
        <v>138.65</v>
      </c>
      <c r="AM241" s="14">
        <v>1</v>
      </c>
      <c r="AN241" s="18">
        <v>33</v>
      </c>
      <c r="AO241" s="18">
        <v>33</v>
      </c>
      <c r="AP241" s="18">
        <v>0</v>
      </c>
      <c r="AQ241" s="14">
        <v>0</v>
      </c>
      <c r="AR241" s="10">
        <v>21.3287251908397</v>
      </c>
      <c r="AS241" s="10">
        <v>26.886</v>
      </c>
      <c r="AT241" s="14">
        <v>1</v>
      </c>
      <c r="AU241" s="18">
        <v>32</v>
      </c>
      <c r="AV241" s="18">
        <v>32</v>
      </c>
      <c r="AW241" s="18">
        <v>0</v>
      </c>
      <c r="AX241" s="14">
        <v>0</v>
      </c>
    </row>
    <row r="242" spans="1:50">
      <c r="A242" s="3" t="s">
        <v>51</v>
      </c>
      <c r="B242" s="6" t="s">
        <v>52</v>
      </c>
      <c r="C242" s="6" t="s">
        <v>46</v>
      </c>
      <c r="D242" s="6" t="s">
        <v>53</v>
      </c>
      <c r="E242" s="4">
        <v>1</v>
      </c>
      <c r="F242" s="11" t="s">
        <v>54</v>
      </c>
      <c r="G242" s="11">
        <v>0.441836111111111</v>
      </c>
      <c r="H242" s="11" t="s">
        <v>54</v>
      </c>
      <c r="I242" s="11">
        <v>0.441811111111111</v>
      </c>
      <c r="J242" s="15">
        <v>0.999943417934</v>
      </c>
      <c r="K242" s="11">
        <v>-60.4502369121002</v>
      </c>
      <c r="L242" s="11">
        <v>18.576642907158</v>
      </c>
      <c r="M242" s="15">
        <v>1</v>
      </c>
      <c r="N242" s="15">
        <v>1</v>
      </c>
      <c r="O242" s="15">
        <v>1</v>
      </c>
      <c r="P242" s="15">
        <v>1</v>
      </c>
      <c r="Q242" s="11">
        <v>78.93420385</v>
      </c>
      <c r="R242" s="11">
        <v>109.16</v>
      </c>
      <c r="S242" s="15">
        <v>1</v>
      </c>
      <c r="T242" s="19">
        <v>10</v>
      </c>
      <c r="U242" s="19">
        <v>10</v>
      </c>
      <c r="V242" s="19">
        <v>0</v>
      </c>
      <c r="W242" s="15">
        <v>0</v>
      </c>
      <c r="X242" s="11">
        <v>17.1598633766667</v>
      </c>
      <c r="Y242" s="11">
        <v>18.523</v>
      </c>
      <c r="Z242" s="15">
        <v>1</v>
      </c>
      <c r="AA242" s="19">
        <v>10</v>
      </c>
      <c r="AB242" s="19">
        <v>10</v>
      </c>
      <c r="AC242" s="19">
        <v>0</v>
      </c>
      <c r="AD242" s="15">
        <v>0</v>
      </c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</row>
    <row r="243" spans="1:50">
      <c r="A243" s="3" t="s">
        <v>44</v>
      </c>
      <c r="B243" s="3" t="s">
        <v>56</v>
      </c>
      <c r="C243" s="4" t="s">
        <v>46</v>
      </c>
      <c r="D243" s="5" t="s">
        <v>53</v>
      </c>
      <c r="E243" s="7">
        <v>3</v>
      </c>
      <c r="F243" s="10"/>
      <c r="G243" s="10">
        <v>0.244</v>
      </c>
      <c r="H243" s="10"/>
      <c r="I243" s="10">
        <v>0.244</v>
      </c>
      <c r="J243" s="14">
        <v>1</v>
      </c>
      <c r="K243" s="10">
        <v>-60.4451219512195</v>
      </c>
      <c r="L243" s="10">
        <v>16.5108704994193</v>
      </c>
      <c r="M243" s="14">
        <v>1</v>
      </c>
      <c r="N243" s="14">
        <v>1</v>
      </c>
      <c r="O243" s="14">
        <v>1</v>
      </c>
      <c r="P243" s="14">
        <v>1</v>
      </c>
      <c r="Q243" s="10">
        <v>38.6648888888889</v>
      </c>
      <c r="R243" s="10">
        <v>53.433</v>
      </c>
      <c r="S243" s="14">
        <v>0.980392156862745</v>
      </c>
      <c r="T243" s="18">
        <v>10</v>
      </c>
      <c r="U243" s="18">
        <v>10</v>
      </c>
      <c r="V243" s="18">
        <v>0</v>
      </c>
      <c r="W243" s="14">
        <v>0</v>
      </c>
      <c r="X243" s="10">
        <v>27.0308433333333</v>
      </c>
      <c r="Y243" s="10">
        <v>29.612</v>
      </c>
      <c r="Z243" s="14">
        <v>1</v>
      </c>
      <c r="AA243" s="18">
        <v>10</v>
      </c>
      <c r="AB243" s="18">
        <v>10</v>
      </c>
      <c r="AC243" s="18">
        <v>0</v>
      </c>
      <c r="AD243" s="14">
        <v>0</v>
      </c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</row>
    <row r="244" spans="1:50">
      <c r="A244" s="3" t="s">
        <v>51</v>
      </c>
      <c r="B244" s="4" t="s">
        <v>62</v>
      </c>
      <c r="C244" s="4" t="s">
        <v>46</v>
      </c>
      <c r="D244" s="4" t="s">
        <v>53</v>
      </c>
      <c r="E244" s="5">
        <v>2</v>
      </c>
      <c r="F244" s="11" t="s">
        <v>54</v>
      </c>
      <c r="G244" s="11">
        <v>0.381733333333333</v>
      </c>
      <c r="H244" s="11" t="s">
        <v>54</v>
      </c>
      <c r="I244" s="11">
        <v>0.381702777777778</v>
      </c>
      <c r="J244" s="15">
        <v>0.999919955757364</v>
      </c>
      <c r="K244" s="11">
        <v>-60.1595278330577</v>
      </c>
      <c r="L244" s="11">
        <v>25.1118369712063</v>
      </c>
      <c r="M244" s="15">
        <v>1</v>
      </c>
      <c r="N244" s="15">
        <v>1</v>
      </c>
      <c r="O244" s="15">
        <v>1</v>
      </c>
      <c r="P244" s="15">
        <v>1</v>
      </c>
      <c r="Q244" s="11">
        <v>81.6722365533333</v>
      </c>
      <c r="R244" s="11">
        <v>104.295</v>
      </c>
      <c r="S244" s="15">
        <v>1</v>
      </c>
      <c r="T244" s="19">
        <v>10</v>
      </c>
      <c r="U244" s="19">
        <v>10</v>
      </c>
      <c r="V244" s="19">
        <v>0</v>
      </c>
      <c r="W244" s="15">
        <v>0</v>
      </c>
      <c r="X244" s="11">
        <v>31.0407495</v>
      </c>
      <c r="Y244" s="11">
        <v>33.5664</v>
      </c>
      <c r="Z244" s="15">
        <v>1</v>
      </c>
      <c r="AA244" s="19">
        <v>10</v>
      </c>
      <c r="AB244" s="19">
        <v>10</v>
      </c>
      <c r="AC244" s="19">
        <v>0</v>
      </c>
      <c r="AD244" s="15">
        <v>0</v>
      </c>
      <c r="AE244" s="11"/>
      <c r="AF244" s="11"/>
      <c r="AG244" s="15"/>
      <c r="AH244" s="15"/>
      <c r="AI244" s="15"/>
      <c r="AJ244" s="15"/>
      <c r="AK244" s="11"/>
      <c r="AL244" s="11"/>
      <c r="AM244" s="15"/>
      <c r="AN244" s="19"/>
      <c r="AO244" s="19"/>
      <c r="AP244" s="19"/>
      <c r="AQ244" s="15"/>
      <c r="AR244" s="11"/>
      <c r="AS244" s="11"/>
      <c r="AT244" s="15"/>
      <c r="AU244" s="19"/>
      <c r="AV244" s="19"/>
      <c r="AW244" s="19"/>
      <c r="AX244" s="15"/>
    </row>
    <row r="245" spans="1:50">
      <c r="A245" s="3" t="s">
        <v>44</v>
      </c>
      <c r="B245" s="3" t="s">
        <v>56</v>
      </c>
      <c r="C245" s="4" t="s">
        <v>46</v>
      </c>
      <c r="D245" s="5" t="s">
        <v>53</v>
      </c>
      <c r="E245" s="7">
        <v>2</v>
      </c>
      <c r="F245" s="10"/>
      <c r="G245" s="10">
        <v>0.244</v>
      </c>
      <c r="H245" s="10"/>
      <c r="I245" s="10">
        <v>0.244</v>
      </c>
      <c r="J245" s="14">
        <v>1</v>
      </c>
      <c r="K245" s="10">
        <v>-59.9605672769544</v>
      </c>
      <c r="L245" s="10">
        <v>14.3083929090381</v>
      </c>
      <c r="M245" s="14">
        <v>1</v>
      </c>
      <c r="N245" s="14">
        <v>1</v>
      </c>
      <c r="O245" s="14">
        <v>1</v>
      </c>
      <c r="P245" s="14">
        <v>1</v>
      </c>
      <c r="Q245" s="10">
        <v>38.6110870967742</v>
      </c>
      <c r="R245" s="10">
        <v>55.559</v>
      </c>
      <c r="S245" s="14">
        <v>0.980645161290323</v>
      </c>
      <c r="T245" s="18">
        <v>10</v>
      </c>
      <c r="U245" s="18">
        <v>10</v>
      </c>
      <c r="V245" s="18">
        <v>0</v>
      </c>
      <c r="W245" s="14">
        <v>0</v>
      </c>
      <c r="X245" s="10">
        <v>27.0022233333333</v>
      </c>
      <c r="Y245" s="10">
        <v>29.206</v>
      </c>
      <c r="Z245" s="14">
        <v>1</v>
      </c>
      <c r="AA245" s="18">
        <v>10</v>
      </c>
      <c r="AB245" s="18">
        <v>10</v>
      </c>
      <c r="AC245" s="18">
        <v>0</v>
      </c>
      <c r="AD245" s="14">
        <v>0</v>
      </c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</row>
    <row r="246" spans="1:50">
      <c r="A246" s="3" t="s">
        <v>44</v>
      </c>
      <c r="B246" s="3" t="s">
        <v>48</v>
      </c>
      <c r="C246" s="4" t="s">
        <v>46</v>
      </c>
      <c r="D246" s="5" t="s">
        <v>57</v>
      </c>
      <c r="E246" s="7">
        <v>1</v>
      </c>
      <c r="F246" s="10"/>
      <c r="G246" s="10">
        <v>0.238</v>
      </c>
      <c r="H246" s="10"/>
      <c r="I246" s="10">
        <v>0.238</v>
      </c>
      <c r="J246" s="14">
        <v>1</v>
      </c>
      <c r="K246" s="10">
        <v>-59.5839829479094</v>
      </c>
      <c r="L246" s="10">
        <v>21.1769609904228</v>
      </c>
      <c r="M246" s="14">
        <v>1</v>
      </c>
      <c r="N246" s="14">
        <v>1</v>
      </c>
      <c r="O246" s="14">
        <v>1</v>
      </c>
      <c r="P246" s="14">
        <v>1</v>
      </c>
      <c r="Q246" s="10">
        <v>130.236052805281</v>
      </c>
      <c r="R246" s="10">
        <v>134.161</v>
      </c>
      <c r="S246" s="14">
        <v>0.993399339933993</v>
      </c>
      <c r="T246" s="18">
        <v>10</v>
      </c>
      <c r="U246" s="18">
        <v>10</v>
      </c>
      <c r="V246" s="18">
        <v>0</v>
      </c>
      <c r="W246" s="14">
        <v>0</v>
      </c>
      <c r="X246" s="10">
        <v>20.3473933333333</v>
      </c>
      <c r="Y246" s="10">
        <v>22.588</v>
      </c>
      <c r="Z246" s="14">
        <v>1</v>
      </c>
      <c r="AA246" s="18">
        <v>10</v>
      </c>
      <c r="AB246" s="18">
        <v>10</v>
      </c>
      <c r="AC246" s="18">
        <v>0</v>
      </c>
      <c r="AD246" s="14">
        <v>0</v>
      </c>
      <c r="AE246" s="10"/>
      <c r="AF246" s="10"/>
      <c r="AG246" s="14"/>
      <c r="AH246" s="14"/>
      <c r="AI246" s="14"/>
      <c r="AJ246" s="14"/>
      <c r="AK246" s="10"/>
      <c r="AL246" s="10"/>
      <c r="AM246" s="14"/>
      <c r="AN246" s="18"/>
      <c r="AO246" s="18"/>
      <c r="AP246" s="18"/>
      <c r="AQ246" s="14"/>
      <c r="AR246" s="10"/>
      <c r="AS246" s="10"/>
      <c r="AT246" s="14"/>
      <c r="AU246" s="18"/>
      <c r="AV246" s="18"/>
      <c r="AW246" s="18"/>
      <c r="AX246" s="14"/>
    </row>
    <row r="247" spans="1:50">
      <c r="A247" s="3" t="s">
        <v>44</v>
      </c>
      <c r="B247" s="7" t="s">
        <v>60</v>
      </c>
      <c r="C247" s="4" t="s">
        <v>46</v>
      </c>
      <c r="D247" s="5" t="s">
        <v>53</v>
      </c>
      <c r="E247" s="7">
        <v>3</v>
      </c>
      <c r="F247" s="10"/>
      <c r="G247" s="10">
        <v>0.24</v>
      </c>
      <c r="H247" s="10"/>
      <c r="I247" s="10">
        <v>0.24</v>
      </c>
      <c r="J247" s="14">
        <v>1</v>
      </c>
      <c r="K247" s="10">
        <v>-59.2468226256983</v>
      </c>
      <c r="L247" s="10">
        <v>19.1971324022346</v>
      </c>
      <c r="M247" s="14">
        <v>1</v>
      </c>
      <c r="N247" s="14">
        <v>1</v>
      </c>
      <c r="O247" s="14">
        <v>1</v>
      </c>
      <c r="P247" s="14">
        <v>1</v>
      </c>
      <c r="Q247" s="10">
        <v>80.4825610561056</v>
      </c>
      <c r="R247" s="10">
        <v>93.885</v>
      </c>
      <c r="S247" s="14">
        <v>0.99009900990099</v>
      </c>
      <c r="T247" s="18">
        <v>10</v>
      </c>
      <c r="U247" s="18">
        <v>10</v>
      </c>
      <c r="V247" s="18">
        <v>0</v>
      </c>
      <c r="W247" s="14">
        <v>0</v>
      </c>
      <c r="X247" s="10">
        <v>20.3101266666667</v>
      </c>
      <c r="Y247" s="10">
        <v>22.525</v>
      </c>
      <c r="Z247" s="14">
        <v>1</v>
      </c>
      <c r="AA247" s="18">
        <v>10</v>
      </c>
      <c r="AB247" s="18">
        <v>10</v>
      </c>
      <c r="AC247" s="18">
        <v>0</v>
      </c>
      <c r="AD247" s="14">
        <v>0</v>
      </c>
      <c r="AE247" s="10"/>
      <c r="AF247" s="10"/>
      <c r="AG247" s="14"/>
      <c r="AH247" s="14"/>
      <c r="AI247" s="14"/>
      <c r="AJ247" s="14"/>
      <c r="AK247" s="10"/>
      <c r="AL247" s="10"/>
      <c r="AM247" s="14"/>
      <c r="AN247" s="18"/>
      <c r="AO247" s="18"/>
      <c r="AP247" s="18"/>
      <c r="AQ247" s="14"/>
      <c r="AR247" s="10"/>
      <c r="AS247" s="10"/>
      <c r="AT247" s="14"/>
      <c r="AU247" s="18"/>
      <c r="AV247" s="18"/>
      <c r="AW247" s="18"/>
      <c r="AX247" s="14"/>
    </row>
    <row r="248" spans="1:50">
      <c r="A248" s="3" t="s">
        <v>44</v>
      </c>
      <c r="B248" s="3" t="s">
        <v>45</v>
      </c>
      <c r="C248" s="4" t="s">
        <v>46</v>
      </c>
      <c r="D248" s="5" t="s">
        <v>53</v>
      </c>
      <c r="E248" s="7">
        <v>1</v>
      </c>
      <c r="F248" s="10"/>
      <c r="G248" s="10">
        <v>0.238</v>
      </c>
      <c r="H248" s="10"/>
      <c r="I248" s="10">
        <v>0.238</v>
      </c>
      <c r="J248" s="14">
        <v>1</v>
      </c>
      <c r="K248" s="10">
        <v>-58.8894520579981</v>
      </c>
      <c r="L248" s="10">
        <v>24.1295</v>
      </c>
      <c r="M248" s="14">
        <v>1</v>
      </c>
      <c r="N248" s="14">
        <v>1</v>
      </c>
      <c r="O248" s="14">
        <v>1</v>
      </c>
      <c r="P248" s="14">
        <v>1</v>
      </c>
      <c r="Q248" s="10">
        <v>66.0017894736842</v>
      </c>
      <c r="R248" s="10">
        <v>80.523</v>
      </c>
      <c r="S248" s="14">
        <v>0.993421052631579</v>
      </c>
      <c r="T248" s="18">
        <v>10</v>
      </c>
      <c r="U248" s="18">
        <v>10</v>
      </c>
      <c r="V248" s="18">
        <v>0</v>
      </c>
      <c r="W248" s="14">
        <v>0</v>
      </c>
      <c r="X248" s="10">
        <v>43.1980200668896</v>
      </c>
      <c r="Y248" s="10">
        <v>52.709</v>
      </c>
      <c r="Z248" s="14">
        <v>1</v>
      </c>
      <c r="AA248" s="18">
        <v>10</v>
      </c>
      <c r="AB248" s="18">
        <v>10</v>
      </c>
      <c r="AC248" s="18">
        <v>0</v>
      </c>
      <c r="AD248" s="14">
        <v>0</v>
      </c>
      <c r="AE248" s="10"/>
      <c r="AF248" s="10"/>
      <c r="AG248" s="14"/>
      <c r="AH248" s="14"/>
      <c r="AI248" s="14"/>
      <c r="AJ248" s="14"/>
      <c r="AK248" s="10"/>
      <c r="AL248" s="10"/>
      <c r="AM248" s="14"/>
      <c r="AN248" s="18"/>
      <c r="AO248" s="18"/>
      <c r="AP248" s="18"/>
      <c r="AQ248" s="14"/>
      <c r="AR248" s="10"/>
      <c r="AS248" s="10"/>
      <c r="AT248" s="14"/>
      <c r="AU248" s="18"/>
      <c r="AV248" s="18"/>
      <c r="AW248" s="18"/>
      <c r="AX248" s="14"/>
    </row>
    <row r="249" spans="1:50">
      <c r="A249" s="3" t="s">
        <v>51</v>
      </c>
      <c r="B249" s="4" t="s">
        <v>58</v>
      </c>
      <c r="C249" s="6" t="s">
        <v>49</v>
      </c>
      <c r="D249" s="6" t="s">
        <v>61</v>
      </c>
      <c r="E249" s="4">
        <v>1</v>
      </c>
      <c r="F249" s="11">
        <v>2.05959138828516</v>
      </c>
      <c r="G249" s="11">
        <v>0.317452777777778</v>
      </c>
      <c r="H249" s="11">
        <v>6.48786695993855</v>
      </c>
      <c r="I249" s="11">
        <v>0.313141666666667</v>
      </c>
      <c r="J249" s="15">
        <v>0.98641967746734</v>
      </c>
      <c r="K249" s="11">
        <v>-58.3942819690653</v>
      </c>
      <c r="L249" s="11">
        <v>13.5785608450368</v>
      </c>
      <c r="M249" s="15">
        <v>0.965964912280702</v>
      </c>
      <c r="N249" s="15">
        <v>0.965964912280702</v>
      </c>
      <c r="O249" s="15">
        <v>0.979192601813978</v>
      </c>
      <c r="P249" s="15">
        <v>0.979192601813978</v>
      </c>
      <c r="Q249" s="11">
        <v>87.459070475</v>
      </c>
      <c r="R249" s="11">
        <v>132.7</v>
      </c>
      <c r="S249" s="15">
        <v>1</v>
      </c>
      <c r="T249" s="19">
        <v>8</v>
      </c>
      <c r="U249" s="19">
        <v>8</v>
      </c>
      <c r="V249" s="19">
        <v>0</v>
      </c>
      <c r="W249" s="15">
        <v>0</v>
      </c>
      <c r="X249" s="11">
        <v>84.0304243037037</v>
      </c>
      <c r="Y249" s="11">
        <v>109.742</v>
      </c>
      <c r="Z249" s="15">
        <v>0.981481481481482</v>
      </c>
      <c r="AA249" s="19">
        <v>9</v>
      </c>
      <c r="AB249" s="19">
        <v>9</v>
      </c>
      <c r="AC249" s="19">
        <v>0</v>
      </c>
      <c r="AD249" s="15">
        <v>0</v>
      </c>
      <c r="AE249" s="11">
        <v>-63.7200338032401</v>
      </c>
      <c r="AF249" s="11">
        <v>6.64415209546678</v>
      </c>
      <c r="AG249" s="15">
        <v>0.93</v>
      </c>
      <c r="AH249" s="15">
        <v>0.93</v>
      </c>
      <c r="AI249" s="15">
        <v>0.978947368421053</v>
      </c>
      <c r="AJ249" s="15">
        <v>0.978947368421053</v>
      </c>
      <c r="AK249" s="11">
        <v>94.8579891236842</v>
      </c>
      <c r="AL249" s="11">
        <v>131.529725733333</v>
      </c>
      <c r="AM249" s="15">
        <v>1</v>
      </c>
      <c r="AN249" s="19">
        <v>8</v>
      </c>
      <c r="AO249" s="19">
        <v>8</v>
      </c>
      <c r="AP249" s="19">
        <v>0</v>
      </c>
      <c r="AQ249" s="15">
        <v>0</v>
      </c>
      <c r="AR249" s="11">
        <v>61.097645763991</v>
      </c>
      <c r="AS249" s="11">
        <v>104.243552176471</v>
      </c>
      <c r="AT249" s="15">
        <v>1</v>
      </c>
      <c r="AU249" s="19">
        <v>9</v>
      </c>
      <c r="AV249" s="19">
        <v>9</v>
      </c>
      <c r="AW249" s="19">
        <v>0</v>
      </c>
      <c r="AX249" s="15">
        <v>0</v>
      </c>
    </row>
    <row r="250" spans="1:50">
      <c r="A250" s="3" t="s">
        <v>51</v>
      </c>
      <c r="B250" s="4" t="s">
        <v>62</v>
      </c>
      <c r="C250" s="4" t="s">
        <v>46</v>
      </c>
      <c r="D250" s="4" t="s">
        <v>53</v>
      </c>
      <c r="E250" s="5">
        <v>3</v>
      </c>
      <c r="F250" s="11" t="s">
        <v>54</v>
      </c>
      <c r="G250" s="11">
        <v>0.3819</v>
      </c>
      <c r="H250" s="11" t="s">
        <v>54</v>
      </c>
      <c r="I250" s="11">
        <v>0.381872222222222</v>
      </c>
      <c r="J250" s="15">
        <v>0.999927264263478</v>
      </c>
      <c r="K250" s="11">
        <v>-58.1113845060146</v>
      </c>
      <c r="L250" s="11">
        <v>25.5949521795525</v>
      </c>
      <c r="M250" s="15">
        <v>1</v>
      </c>
      <c r="N250" s="15">
        <v>1</v>
      </c>
      <c r="O250" s="15">
        <v>1</v>
      </c>
      <c r="P250" s="15">
        <v>1</v>
      </c>
      <c r="Q250" s="11">
        <v>88.59359081</v>
      </c>
      <c r="R250" s="11">
        <v>104.12</v>
      </c>
      <c r="S250" s="15">
        <v>1</v>
      </c>
      <c r="T250" s="19">
        <v>10</v>
      </c>
      <c r="U250" s="19">
        <v>10</v>
      </c>
      <c r="V250" s="19">
        <v>0</v>
      </c>
      <c r="W250" s="15">
        <v>0</v>
      </c>
      <c r="X250" s="11">
        <v>31.2870269633333</v>
      </c>
      <c r="Y250" s="11">
        <v>33.6</v>
      </c>
      <c r="Z250" s="15">
        <v>1</v>
      </c>
      <c r="AA250" s="19">
        <v>10</v>
      </c>
      <c r="AB250" s="19">
        <v>10</v>
      </c>
      <c r="AC250" s="19">
        <v>0</v>
      </c>
      <c r="AD250" s="15">
        <v>0</v>
      </c>
      <c r="AE250" s="11"/>
      <c r="AF250" s="11"/>
      <c r="AG250" s="15"/>
      <c r="AH250" s="15"/>
      <c r="AI250" s="15"/>
      <c r="AJ250" s="15"/>
      <c r="AK250" s="11"/>
      <c r="AL250" s="11"/>
      <c r="AM250" s="15"/>
      <c r="AN250" s="19"/>
      <c r="AO250" s="19"/>
      <c r="AP250" s="19"/>
      <c r="AQ250" s="15"/>
      <c r="AR250" s="11"/>
      <c r="AS250" s="11"/>
      <c r="AT250" s="15"/>
      <c r="AU250" s="19"/>
      <c r="AV250" s="19"/>
      <c r="AW250" s="19"/>
      <c r="AX250" s="15"/>
    </row>
    <row r="251" spans="1:50">
      <c r="A251" s="3" t="s">
        <v>44</v>
      </c>
      <c r="B251" s="3" t="s">
        <v>56</v>
      </c>
      <c r="C251" s="4" t="s">
        <v>46</v>
      </c>
      <c r="D251" s="5" t="s">
        <v>53</v>
      </c>
      <c r="E251" s="7">
        <v>1</v>
      </c>
      <c r="F251" s="10"/>
      <c r="G251" s="10">
        <v>0.244</v>
      </c>
      <c r="H251" s="10"/>
      <c r="I251" s="10">
        <v>0.244</v>
      </c>
      <c r="J251" s="14">
        <v>1</v>
      </c>
      <c r="K251" s="10">
        <v>-57.5653509615385</v>
      </c>
      <c r="L251" s="10">
        <v>23.911372481685</v>
      </c>
      <c r="M251" s="14">
        <v>1</v>
      </c>
      <c r="N251" s="14">
        <v>1</v>
      </c>
      <c r="O251" s="14">
        <v>1</v>
      </c>
      <c r="P251" s="14">
        <v>1</v>
      </c>
      <c r="Q251" s="10">
        <v>69.4934098360656</v>
      </c>
      <c r="R251" s="10">
        <v>81.835</v>
      </c>
      <c r="S251" s="14">
        <v>0.99672131147541</v>
      </c>
      <c r="T251" s="18">
        <v>10</v>
      </c>
      <c r="U251" s="18">
        <v>10</v>
      </c>
      <c r="V251" s="18">
        <v>0</v>
      </c>
      <c r="W251" s="14">
        <v>0</v>
      </c>
      <c r="X251" s="10">
        <v>57.4674113712375</v>
      </c>
      <c r="Y251" s="10">
        <v>65.288</v>
      </c>
      <c r="Z251" s="14">
        <v>1</v>
      </c>
      <c r="AA251" s="18">
        <v>10</v>
      </c>
      <c r="AB251" s="18">
        <v>10</v>
      </c>
      <c r="AC251" s="18">
        <v>0</v>
      </c>
      <c r="AD251" s="14">
        <v>0</v>
      </c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</row>
    <row r="252" spans="1:50">
      <c r="A252" s="3" t="s">
        <v>44</v>
      </c>
      <c r="B252" s="7" t="s">
        <v>60</v>
      </c>
      <c r="C252" s="4" t="s">
        <v>46</v>
      </c>
      <c r="D252" s="5" t="s">
        <v>47</v>
      </c>
      <c r="E252" s="7">
        <v>1</v>
      </c>
      <c r="F252" s="10"/>
      <c r="G252" s="10">
        <v>0.24</v>
      </c>
      <c r="H252" s="10"/>
      <c r="I252" s="10">
        <v>0.24</v>
      </c>
      <c r="J252" s="14">
        <v>1</v>
      </c>
      <c r="K252" s="10">
        <v>-56.6261396051103</v>
      </c>
      <c r="L252" s="10">
        <v>14.415743786295</v>
      </c>
      <c r="M252" s="14">
        <v>0.980255516840883</v>
      </c>
      <c r="N252" s="14">
        <v>0.980255516840883</v>
      </c>
      <c r="O252" s="14">
        <v>0.980255516840883</v>
      </c>
      <c r="P252" s="14">
        <v>0.980255516840883</v>
      </c>
      <c r="Q252" s="10">
        <v>62.8515213114754</v>
      </c>
      <c r="R252" s="10">
        <v>77.99</v>
      </c>
      <c r="S252" s="14">
        <v>0.99672131147541</v>
      </c>
      <c r="T252" s="18">
        <v>10</v>
      </c>
      <c r="U252" s="18">
        <v>10</v>
      </c>
      <c r="V252" s="18">
        <v>0</v>
      </c>
      <c r="W252" s="14">
        <v>0</v>
      </c>
      <c r="X252" s="10">
        <v>16.4281133333333</v>
      </c>
      <c r="Y252" s="10">
        <v>22.255</v>
      </c>
      <c r="Z252" s="14">
        <v>1</v>
      </c>
      <c r="AA252" s="18">
        <v>10</v>
      </c>
      <c r="AB252" s="18">
        <v>10</v>
      </c>
      <c r="AC252" s="18">
        <v>0</v>
      </c>
      <c r="AD252" s="14">
        <v>0</v>
      </c>
      <c r="AE252" s="10"/>
      <c r="AF252" s="10"/>
      <c r="AG252" s="14"/>
      <c r="AH252" s="14"/>
      <c r="AI252" s="14"/>
      <c r="AJ252" s="14"/>
      <c r="AK252" s="10"/>
      <c r="AL252" s="10"/>
      <c r="AM252" s="14"/>
      <c r="AN252" s="18"/>
      <c r="AO252" s="18"/>
      <c r="AP252" s="18"/>
      <c r="AQ252" s="14"/>
      <c r="AR252" s="10"/>
      <c r="AS252" s="10"/>
      <c r="AT252" s="14"/>
      <c r="AU252" s="18"/>
      <c r="AV252" s="18"/>
      <c r="AW252" s="18"/>
      <c r="AX252" s="14"/>
    </row>
    <row r="253" spans="1:50">
      <c r="A253" s="3" t="s">
        <v>44</v>
      </c>
      <c r="B253" s="3" t="s">
        <v>48</v>
      </c>
      <c r="C253" s="4" t="s">
        <v>46</v>
      </c>
      <c r="D253" s="5" t="s">
        <v>53</v>
      </c>
      <c r="E253" s="7">
        <v>2</v>
      </c>
      <c r="F253" s="10"/>
      <c r="G253" s="10">
        <v>0.257</v>
      </c>
      <c r="H253" s="10"/>
      <c r="I253" s="10">
        <v>0.257</v>
      </c>
      <c r="J253" s="14">
        <v>1</v>
      </c>
      <c r="K253" s="10">
        <v>-55.6674740654883</v>
      </c>
      <c r="L253" s="10">
        <v>18.9799886989278</v>
      </c>
      <c r="M253" s="14">
        <v>1</v>
      </c>
      <c r="N253" s="14">
        <v>1</v>
      </c>
      <c r="O253" s="14">
        <v>1</v>
      </c>
      <c r="P253" s="14">
        <v>1</v>
      </c>
      <c r="Q253" s="10">
        <v>23.3497278688525</v>
      </c>
      <c r="R253" s="10">
        <v>28.973</v>
      </c>
      <c r="S253" s="14">
        <v>0.980327868852459</v>
      </c>
      <c r="T253" s="18">
        <v>10</v>
      </c>
      <c r="U253" s="18">
        <v>10</v>
      </c>
      <c r="V253" s="18">
        <v>0</v>
      </c>
      <c r="W253" s="14">
        <v>0</v>
      </c>
      <c r="X253" s="10">
        <v>6.86639799331104</v>
      </c>
      <c r="Y253" s="10">
        <v>8.43</v>
      </c>
      <c r="Z253" s="14">
        <v>0.996655518394649</v>
      </c>
      <c r="AA253" s="18">
        <v>10</v>
      </c>
      <c r="AB253" s="18">
        <v>10</v>
      </c>
      <c r="AC253" s="18">
        <v>0</v>
      </c>
      <c r="AD253" s="14">
        <v>0</v>
      </c>
      <c r="AE253" s="10"/>
      <c r="AF253" s="10"/>
      <c r="AG253" s="14"/>
      <c r="AH253" s="14"/>
      <c r="AI253" s="14"/>
      <c r="AJ253" s="14"/>
      <c r="AK253" s="10"/>
      <c r="AL253" s="10"/>
      <c r="AM253" s="14"/>
      <c r="AN253" s="18"/>
      <c r="AO253" s="18"/>
      <c r="AP253" s="18"/>
      <c r="AQ253" s="14"/>
      <c r="AR253" s="10"/>
      <c r="AS253" s="10"/>
      <c r="AT253" s="14"/>
      <c r="AU253" s="18"/>
      <c r="AV253" s="18"/>
      <c r="AW253" s="18"/>
      <c r="AX253" s="14"/>
    </row>
    <row r="254" spans="1:50">
      <c r="A254" s="3" t="s">
        <v>44</v>
      </c>
      <c r="B254" s="3" t="s">
        <v>48</v>
      </c>
      <c r="C254" s="4" t="s">
        <v>46</v>
      </c>
      <c r="D254" s="5" t="s">
        <v>53</v>
      </c>
      <c r="E254" s="7">
        <v>3</v>
      </c>
      <c r="F254" s="10"/>
      <c r="G254" s="10">
        <v>0.257</v>
      </c>
      <c r="H254" s="10"/>
      <c r="I254" s="10">
        <v>0.257</v>
      </c>
      <c r="J254" s="14">
        <v>1</v>
      </c>
      <c r="K254" s="10">
        <v>-55.2315888699602</v>
      </c>
      <c r="L254" s="10">
        <v>21.244847245883</v>
      </c>
      <c r="M254" s="14">
        <v>1</v>
      </c>
      <c r="N254" s="14">
        <v>1</v>
      </c>
      <c r="O254" s="14">
        <v>1</v>
      </c>
      <c r="P254" s="14">
        <v>1</v>
      </c>
      <c r="Q254" s="10">
        <v>16.2552922077922</v>
      </c>
      <c r="R254" s="10">
        <v>22.446</v>
      </c>
      <c r="S254" s="14">
        <v>0.896103896103896</v>
      </c>
      <c r="T254" s="18">
        <v>10</v>
      </c>
      <c r="U254" s="18">
        <v>10</v>
      </c>
      <c r="V254" s="18">
        <v>0</v>
      </c>
      <c r="W254" s="14">
        <v>0</v>
      </c>
      <c r="X254" s="10">
        <v>7.0644</v>
      </c>
      <c r="Y254" s="10">
        <v>8.974</v>
      </c>
      <c r="Z254" s="14">
        <v>0.993333333333333</v>
      </c>
      <c r="AA254" s="18">
        <v>10</v>
      </c>
      <c r="AB254" s="18">
        <v>10</v>
      </c>
      <c r="AC254" s="18">
        <v>0</v>
      </c>
      <c r="AD254" s="14">
        <v>0</v>
      </c>
      <c r="AE254" s="10"/>
      <c r="AF254" s="10"/>
      <c r="AG254" s="14"/>
      <c r="AH254" s="14"/>
      <c r="AI254" s="14"/>
      <c r="AJ254" s="14"/>
      <c r="AK254" s="10"/>
      <c r="AL254" s="10"/>
      <c r="AM254" s="14"/>
      <c r="AN254" s="18"/>
      <c r="AO254" s="18"/>
      <c r="AP254" s="18"/>
      <c r="AQ254" s="14"/>
      <c r="AR254" s="10"/>
      <c r="AS254" s="10"/>
      <c r="AT254" s="14"/>
      <c r="AU254" s="18"/>
      <c r="AV254" s="18"/>
      <c r="AW254" s="18"/>
      <c r="AX254" s="14"/>
    </row>
    <row r="255" spans="1:50">
      <c r="A255" s="3" t="s">
        <v>44</v>
      </c>
      <c r="B255" s="3" t="s">
        <v>45</v>
      </c>
      <c r="C255" s="4" t="s">
        <v>46</v>
      </c>
      <c r="D255" s="5" t="s">
        <v>53</v>
      </c>
      <c r="E255" s="7">
        <v>3</v>
      </c>
      <c r="F255" s="10"/>
      <c r="G255" s="10">
        <v>0.238</v>
      </c>
      <c r="H255" s="10"/>
      <c r="I255" s="10">
        <v>0.238</v>
      </c>
      <c r="J255" s="14">
        <v>1</v>
      </c>
      <c r="K255" s="10">
        <v>-55.1484722139673</v>
      </c>
      <c r="L255" s="10">
        <v>27.3964315007429</v>
      </c>
      <c r="M255" s="14">
        <v>1</v>
      </c>
      <c r="N255" s="14">
        <v>1</v>
      </c>
      <c r="O255" s="14">
        <v>1</v>
      </c>
      <c r="P255" s="14">
        <v>1</v>
      </c>
      <c r="Q255" s="10">
        <v>19.9569639344262</v>
      </c>
      <c r="R255" s="10">
        <v>24.738</v>
      </c>
      <c r="S255" s="14">
        <v>0.960655737704918</v>
      </c>
      <c r="T255" s="18">
        <v>10</v>
      </c>
      <c r="U255" s="18">
        <v>10</v>
      </c>
      <c r="V255" s="18">
        <v>0</v>
      </c>
      <c r="W255" s="14">
        <v>0</v>
      </c>
      <c r="X255" s="10">
        <v>11.5168466666667</v>
      </c>
      <c r="Y255" s="10">
        <v>13.162</v>
      </c>
      <c r="Z255" s="14">
        <v>1</v>
      </c>
      <c r="AA255" s="18">
        <v>10</v>
      </c>
      <c r="AB255" s="18">
        <v>10</v>
      </c>
      <c r="AC255" s="18">
        <v>0</v>
      </c>
      <c r="AD255" s="14">
        <v>0</v>
      </c>
      <c r="AE255" s="10"/>
      <c r="AF255" s="10"/>
      <c r="AG255" s="14"/>
      <c r="AH255" s="14"/>
      <c r="AI255" s="14"/>
      <c r="AJ255" s="14"/>
      <c r="AK255" s="10"/>
      <c r="AL255" s="10"/>
      <c r="AM255" s="14"/>
      <c r="AN255" s="18"/>
      <c r="AO255" s="18"/>
      <c r="AP255" s="18"/>
      <c r="AQ255" s="14"/>
      <c r="AR255" s="10"/>
      <c r="AS255" s="10"/>
      <c r="AT255" s="14"/>
      <c r="AU255" s="18"/>
      <c r="AV255" s="18"/>
      <c r="AW255" s="18"/>
      <c r="AX255" s="14"/>
    </row>
    <row r="256" spans="1:50">
      <c r="A256" s="3" t="s">
        <v>44</v>
      </c>
      <c r="B256" s="3" t="s">
        <v>56</v>
      </c>
      <c r="C256" s="4" t="s">
        <v>46</v>
      </c>
      <c r="D256" s="5" t="s">
        <v>53</v>
      </c>
      <c r="E256" s="7">
        <v>1</v>
      </c>
      <c r="F256" s="10"/>
      <c r="G256" s="10">
        <v>0.243</v>
      </c>
      <c r="H256" s="10"/>
      <c r="I256" s="10">
        <v>0.243</v>
      </c>
      <c r="J256" s="14">
        <v>1</v>
      </c>
      <c r="K256" s="10">
        <v>-54.7131845375058</v>
      </c>
      <c r="L256" s="10">
        <v>25.7621502531063</v>
      </c>
      <c r="M256" s="14">
        <v>1</v>
      </c>
      <c r="N256" s="14">
        <v>1</v>
      </c>
      <c r="O256" s="14">
        <v>1</v>
      </c>
      <c r="P256" s="14">
        <v>1</v>
      </c>
      <c r="Q256" s="10">
        <v>49.1911622516556</v>
      </c>
      <c r="R256" s="10">
        <v>54.192</v>
      </c>
      <c r="S256" s="14">
        <v>0.986754966887417</v>
      </c>
      <c r="T256" s="18">
        <v>10</v>
      </c>
      <c r="U256" s="18">
        <v>10</v>
      </c>
      <c r="V256" s="18">
        <v>0</v>
      </c>
      <c r="W256" s="14">
        <v>0</v>
      </c>
      <c r="X256" s="10">
        <v>41.53488</v>
      </c>
      <c r="Y256" s="10">
        <v>43.959</v>
      </c>
      <c r="Z256" s="14">
        <v>1</v>
      </c>
      <c r="AA256" s="18">
        <v>10</v>
      </c>
      <c r="AB256" s="18">
        <v>10</v>
      </c>
      <c r="AC256" s="18">
        <v>0</v>
      </c>
      <c r="AD256" s="14">
        <v>0</v>
      </c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</row>
    <row r="257" spans="1:50">
      <c r="A257" s="3" t="s">
        <v>44</v>
      </c>
      <c r="B257" s="7" t="s">
        <v>60</v>
      </c>
      <c r="C257" s="4" t="s">
        <v>46</v>
      </c>
      <c r="D257" s="5" t="s">
        <v>53</v>
      </c>
      <c r="E257" s="7">
        <v>1</v>
      </c>
      <c r="F257" s="10"/>
      <c r="G257" s="10">
        <v>0.24</v>
      </c>
      <c r="H257" s="10"/>
      <c r="I257" s="10">
        <v>0.24</v>
      </c>
      <c r="J257" s="14">
        <v>1</v>
      </c>
      <c r="K257" s="10">
        <v>-52.2084327595481</v>
      </c>
      <c r="L257" s="10">
        <v>20.4713830016138</v>
      </c>
      <c r="M257" s="14">
        <v>1</v>
      </c>
      <c r="N257" s="14">
        <v>1</v>
      </c>
      <c r="O257" s="14">
        <v>1</v>
      </c>
      <c r="P257" s="14">
        <v>1</v>
      </c>
      <c r="Q257" s="10">
        <v>51.3579509803922</v>
      </c>
      <c r="R257" s="10">
        <v>75.706</v>
      </c>
      <c r="S257" s="14">
        <v>0.993464052287582</v>
      </c>
      <c r="T257" s="18">
        <v>10</v>
      </c>
      <c r="U257" s="18">
        <v>10</v>
      </c>
      <c r="V257" s="18">
        <v>0</v>
      </c>
      <c r="W257" s="14">
        <v>0</v>
      </c>
      <c r="X257" s="10">
        <v>23.2134333333333</v>
      </c>
      <c r="Y257" s="10">
        <v>25.485</v>
      </c>
      <c r="Z257" s="14">
        <v>1</v>
      </c>
      <c r="AA257" s="18">
        <v>10</v>
      </c>
      <c r="AB257" s="18">
        <v>10</v>
      </c>
      <c r="AC257" s="18">
        <v>0</v>
      </c>
      <c r="AD257" s="14">
        <v>0</v>
      </c>
      <c r="AE257" s="10"/>
      <c r="AF257" s="10"/>
      <c r="AG257" s="14"/>
      <c r="AH257" s="14"/>
      <c r="AI257" s="14"/>
      <c r="AJ257" s="14"/>
      <c r="AK257" s="10"/>
      <c r="AL257" s="10"/>
      <c r="AM257" s="14"/>
      <c r="AN257" s="18"/>
      <c r="AO257" s="18"/>
      <c r="AP257" s="18"/>
      <c r="AQ257" s="14"/>
      <c r="AR257" s="10"/>
      <c r="AS257" s="10"/>
      <c r="AT257" s="14"/>
      <c r="AU257" s="18"/>
      <c r="AV257" s="18"/>
      <c r="AW257" s="18"/>
      <c r="AX257" s="14"/>
    </row>
    <row r="258" spans="1:50">
      <c r="A258" s="3" t="s">
        <v>51</v>
      </c>
      <c r="B258" s="5" t="s">
        <v>55</v>
      </c>
      <c r="C258" s="5" t="s">
        <v>46</v>
      </c>
      <c r="D258" s="5" t="s">
        <v>57</v>
      </c>
      <c r="E258" s="5">
        <v>1</v>
      </c>
      <c r="F258" s="11" t="s">
        <v>54</v>
      </c>
      <c r="G258" s="11">
        <v>0.376430555555556</v>
      </c>
      <c r="H258" s="11" t="s">
        <v>54</v>
      </c>
      <c r="I258" s="11">
        <v>0.376397222222222</v>
      </c>
      <c r="J258" s="15">
        <v>0.999911448917094</v>
      </c>
      <c r="K258" s="11">
        <v>-51.22424906494</v>
      </c>
      <c r="L258" s="11">
        <v>26.1150963940376</v>
      </c>
      <c r="M258" s="15">
        <v>1</v>
      </c>
      <c r="N258" s="15">
        <v>1</v>
      </c>
      <c r="O258" s="15">
        <v>1</v>
      </c>
      <c r="P258" s="15">
        <v>1</v>
      </c>
      <c r="Q258" s="11">
        <v>62.4457947066667</v>
      </c>
      <c r="R258" s="11">
        <v>91.1957</v>
      </c>
      <c r="S258" s="15">
        <v>1</v>
      </c>
      <c r="T258" s="19">
        <v>10</v>
      </c>
      <c r="U258" s="19">
        <v>10</v>
      </c>
      <c r="V258" s="19">
        <v>0</v>
      </c>
      <c r="W258" s="15">
        <v>0</v>
      </c>
      <c r="X258" s="11">
        <v>75.6493187166667</v>
      </c>
      <c r="Y258" s="11">
        <v>82.4048</v>
      </c>
      <c r="Z258" s="15">
        <v>1</v>
      </c>
      <c r="AA258" s="19">
        <v>10</v>
      </c>
      <c r="AB258" s="19">
        <v>10</v>
      </c>
      <c r="AC258" s="19">
        <v>0</v>
      </c>
      <c r="AD258" s="15">
        <v>0</v>
      </c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</row>
    <row r="259" spans="1:50">
      <c r="A259" s="3" t="s">
        <v>51</v>
      </c>
      <c r="B259" s="4" t="s">
        <v>58</v>
      </c>
      <c r="C259" s="5" t="s">
        <v>46</v>
      </c>
      <c r="D259" s="6" t="s">
        <v>65</v>
      </c>
      <c r="E259" s="4">
        <v>1</v>
      </c>
      <c r="F259" s="11" t="s">
        <v>54</v>
      </c>
      <c r="G259" s="11">
        <v>0.394086111111111</v>
      </c>
      <c r="H259" s="11" t="s">
        <v>54</v>
      </c>
      <c r="I259" s="11">
        <v>0.394058333333333</v>
      </c>
      <c r="J259" s="15">
        <v>0.999929513431215</v>
      </c>
      <c r="K259" s="11">
        <v>-46.5300257086283</v>
      </c>
      <c r="L259" s="11">
        <v>23.1176023624472</v>
      </c>
      <c r="M259" s="15">
        <v>1</v>
      </c>
      <c r="N259" s="15">
        <v>1</v>
      </c>
      <c r="O259" s="15">
        <v>1</v>
      </c>
      <c r="P259" s="15">
        <v>1</v>
      </c>
      <c r="Q259" s="11">
        <v>107.6217678</v>
      </c>
      <c r="R259" s="11">
        <v>125.66</v>
      </c>
      <c r="S259" s="15">
        <v>1</v>
      </c>
      <c r="T259" s="19">
        <v>10</v>
      </c>
      <c r="U259" s="19">
        <v>10</v>
      </c>
      <c r="V259" s="19">
        <v>0</v>
      </c>
      <c r="W259" s="15">
        <v>0</v>
      </c>
      <c r="X259" s="11">
        <v>104.346002726667</v>
      </c>
      <c r="Y259" s="11">
        <v>116.334</v>
      </c>
      <c r="Z259" s="15">
        <v>1</v>
      </c>
      <c r="AA259" s="19">
        <v>10</v>
      </c>
      <c r="AB259" s="19">
        <v>10</v>
      </c>
      <c r="AC259" s="19">
        <v>0</v>
      </c>
      <c r="AD259" s="15">
        <v>0</v>
      </c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</row>
  </sheetData>
  <autoFilter xmlns:etc="http://www.wps.cn/officeDocument/2017/etCustomData" ref="A1:AX259" etc:filterBottomFollowUsedRange="0">
    <sortState ref="A1:AX259">
      <sortCondition ref="K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Cat1</vt:lpstr>
      <vt:lpstr>NB-IoT</vt:lpstr>
      <vt:lpstr>Redcap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xiaokang ren</dc:creator>
  <cp:lastModifiedBy>任小康</cp:lastModifiedBy>
  <dcterms:created xsi:type="dcterms:W3CDTF">2023-05-12T11:15:00Z</dcterms:created>
  <dcterms:modified xsi:type="dcterms:W3CDTF">2026-01-19T07:40:23Z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2052-12.1.0.23122</vt:lpwstr>
  </property>
  <property fmtid="{D5CDD505-2E9C-101B-9397-08002B2CF9AE}" pid="3" name="ICV">
    <vt:lpwstr>D3561D9BF01145FA8853954FB327A163_12</vt:lpwstr>
  </property>
</Properties>
</file>